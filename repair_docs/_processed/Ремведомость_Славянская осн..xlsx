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xl/worksheets/sheet5.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1"/>
  </bookViews>
  <sheets>
    <sheet name="Оригинал" sheetId="1" state="hidden" r:id="rId1"/>
    <sheet name="Переработанная" sheetId="2" state="visible" r:id="rId2"/>
    <sheet name="Лист2" sheetId="3" state="visible" r:id="rId3"/>
    <sheet name="Лист1" sheetId="4" state="visible" r:id="rId4"/>
    <sheet name="Sheet2" sheetId="5" state="visible" r:id="rId5"/>
    <sheet name="Sheet3" sheetId="6" state="visible" r:id="rId6"/>
  </sheets>
  <definedNames>
    <definedName name="_xlnm.Print_Area" localSheetId="0">'Оригинал'!$A$1:$H$289</definedName>
    <definedName name="Доллар" localSheetId="1">Переработанная!#REF!</definedName>
    <definedName name="Исполнитель" localSheetId="1">Переработанная!#REF!</definedName>
    <definedName name="Курс" localSheetId="1">Переработанная!#REF!</definedName>
    <definedName name="Курсм" localSheetId="1">Переработанная!#REF!</definedName>
    <definedName name="Материал" localSheetId="1">Переработанная!#REF!</definedName>
    <definedName name="НДС" localSheetId="1">Переработанная!#REF!</definedName>
    <definedName name="НДСм" localSheetId="1">Переработанная!#REF!</definedName>
    <definedName name="нормочас" localSheetId="1">Переработанная!#REF!</definedName>
    <definedName name="_xlnm.Print_Area" localSheetId="1">'Переработанная'!$A$1:$I$277</definedName>
    <definedName name="Прибыль_мин.__в" localSheetId="1">Переработанная!#REF!</definedName>
    <definedName name="Прибыль_мин.__в_рублях" localSheetId="1">Переработанная!#REF!</definedName>
    <definedName name="Смета_подр." localSheetId="1">Переработанная!#REF!</definedName>
    <definedName name="Шаг" localSheetId="1">Переработанная!#REF!</definedName>
    <definedName name="Доллар">'Оригинал'!$D$4</definedName>
    <definedName name="Исполнитель">Оригинал!#REF!</definedName>
    <definedName name="Курс">Оригинал!#REF!</definedName>
    <definedName name="Курсм">Оригинал!#REF!</definedName>
    <definedName name="Материал">Оригинал!#REF!</definedName>
    <definedName name="НДС">Оригинал!#REF!</definedName>
    <definedName name="НДСм">Оригинал!#REF!</definedName>
    <definedName name="нормочас">Оригинал!#REF!</definedName>
    <definedName name="Прибыль_мин.__в">Оригинал!#REF!</definedName>
    <definedName name="Прибыль_мин.__в_рублях">Оригинал!#REF!</definedName>
    <definedName name="Смета_подр.">Оригинал!#REF!</definedName>
    <definedName name="Шаг">Оригинал!#REF!</definedName>
  </definedNames>
  <calcPr/>
  <extLst>
    <ext xmlns:x15="http://schemas.microsoft.com/office/spreadsheetml/2010/11/main" uri="{D0CA8CA8-9F24-4464-BF8E-62219DCF47F9}"/>
  </extLst>
</workbook>
</file>

<file path=xl/sharedStrings.xml><?xml version="1.0" encoding="utf-8"?>
<sst xmlns="http://schemas.openxmlformats.org/spreadsheetml/2006/main" count="566" uniqueCount="566">
  <si>
    <t xml:space="preserve">Приложение № 3  </t>
  </si>
  <si>
    <t xml:space="preserve">к                                                      № </t>
  </si>
  <si>
    <t>АКТ</t>
  </si>
  <si>
    <t xml:space="preserve">сдачи-приемки выполненных работ</t>
  </si>
  <si>
    <t>г/ш"Славянская"</t>
  </si>
  <si>
    <t xml:space="preserve">"           "                        202       г.</t>
  </si>
  <si>
    <r>
      <rPr>
        <b/>
        <sz val="12"/>
        <color theme="1"/>
        <rFont val="Times New Roman"/>
      </rPr>
      <t xml:space="preserve">Общество с ограниченной ответственностью «Находкинский судоремонтный завод</t>
    </r>
    <r>
      <rPr>
        <sz val="12"/>
        <color theme="1"/>
        <rFont val="Times New Roman"/>
      </rPr>
      <t xml:space="preserve">» </t>
    </r>
    <r>
      <rPr>
        <b/>
        <sz val="12"/>
        <color theme="1"/>
        <rFont val="Times New Roman"/>
      </rPr>
      <t xml:space="preserve">(«ООО «НСРЗ»)</t>
    </r>
    <r>
      <rPr>
        <sz val="12"/>
        <color theme="1"/>
        <rFont val="Times New Roman"/>
      </rPr>
      <t xml:space="preserve"> именуемое в дальнейшем </t>
    </r>
    <r>
      <rPr>
        <b/>
        <sz val="12"/>
        <color theme="1"/>
        <rFont val="Times New Roman"/>
      </rPr>
      <t>«Заказчик»</t>
    </r>
    <r>
      <rPr>
        <sz val="12"/>
        <color theme="1"/>
        <rFont val="Times New Roman"/>
      </rPr>
      <t xml:space="preserve">, в лице генерального директора Латухина Олега Владимировича, действующего на основании Устава, с одной стороны и</t>
    </r>
    <r>
      <rPr>
        <b/>
        <sz val="12"/>
        <color theme="1"/>
        <rFont val="Times New Roman"/>
      </rPr>
      <t xml:space="preserve"> Общество с ограниченной ответственностью «Новое Время» (ООО «Новое Время»)</t>
    </r>
    <r>
      <rPr>
        <sz val="12"/>
        <color theme="1"/>
        <rFont val="Times New Roman"/>
      </rPr>
      <t xml:space="preserve">, именуемое в дальнейшем </t>
    </r>
    <r>
      <rPr>
        <b/>
        <sz val="12"/>
        <color theme="1"/>
        <rFont val="Times New Roman"/>
      </rPr>
      <t>«Подрядчик»</t>
    </r>
    <r>
      <rPr>
        <sz val="12"/>
        <color theme="1"/>
        <rFont val="Times New Roman"/>
      </rPr>
      <t xml:space="preserve">, в лице директора Ульянова Сергея Александровича, действующего на основании Устава, с другой стороны, составили настоящий акт о выполненных Подрядчиком следующих объемах работ:</t>
    </r>
  </si>
  <si>
    <t>№</t>
  </si>
  <si>
    <t xml:space="preserve">Наименование выполненной работы</t>
  </si>
  <si>
    <t xml:space="preserve">Ед измерения</t>
  </si>
  <si>
    <t>Кол-во</t>
  </si>
  <si>
    <t xml:space="preserve">Поставка </t>
  </si>
  <si>
    <t xml:space="preserve">Цена за ед./руб.</t>
  </si>
  <si>
    <t xml:space="preserve">Стоимость без НДС, руб.</t>
  </si>
  <si>
    <t>СЗЧ</t>
  </si>
  <si>
    <t>матеириалы</t>
  </si>
  <si>
    <t xml:space="preserve">Основные работы</t>
  </si>
  <si>
    <t>3.12</t>
  </si>
  <si>
    <t xml:space="preserve"> Ремонт  механических стопоров штоков гидроцилиндров Пр.Б\ЛБ. Шток стопора Ø=104мм, высота штока с резбьбой h=550мм, разобрать, очистить от ржавчины, восстановить резьбу; направляющие 2шт. Ø=55мм, h=600мм разобрать очистить от ржавчины при необходимости выпрямить прессом.</t>
  </si>
  <si>
    <t>шт</t>
  </si>
  <si>
    <t>2</t>
  </si>
  <si>
    <t xml:space="preserve">18 905,00</t>
  </si>
  <si>
    <t>3.17</t>
  </si>
  <si>
    <t xml:space="preserve">Замена резинового уплотнения крышки вентиляционного закрытия 300 х 500 мм фальштруба. Резина 20*20 мм </t>
  </si>
  <si>
    <t>п.м.</t>
  </si>
  <si>
    <t xml:space="preserve">30 248,00</t>
  </si>
  <si>
    <t>3.18</t>
  </si>
  <si>
    <t xml:space="preserve">Произвести капитальный ремонт крышки  КАПа камбуза 1400 мм х1000 мм,с заменой крепежа 7шт. (барашков) Шток L-130мм Сталь 3  с заменой уплотнительной  резины  40 мм х 25мм, L-5 м.</t>
  </si>
  <si>
    <t xml:space="preserve">22 472,00</t>
  </si>
  <si>
    <t>3.19</t>
  </si>
  <si>
    <t xml:space="preserve">Замена резинового уплотнения 45х25мм  крышки вентиляционного закрытия 300 х 500 мм фальштруба шп 67</t>
  </si>
  <si>
    <t>3.20</t>
  </si>
  <si>
    <t xml:space="preserve">Замена резинового уплотнения 45х25мм  крышки вентиляционного закрытия 200х300 мм фальштруба шп 67</t>
  </si>
  <si>
    <t>3.21</t>
  </si>
  <si>
    <t xml:space="preserve">Замена резинового уплотнения 45х25мм  крышки вентиляционного закрытия 300х400 мм фальштруба шп 67</t>
  </si>
  <si>
    <t xml:space="preserve">26 467,00</t>
  </si>
  <si>
    <t>3.22</t>
  </si>
  <si>
    <t xml:space="preserve">Замена резинового уплотнения 45х25мм  крышки вентиляционного закрытия 300х750 мм фальштруба шп 65 ЛБ </t>
  </si>
  <si>
    <t xml:space="preserve">39 700,50</t>
  </si>
  <si>
    <t>3.24</t>
  </si>
  <si>
    <t xml:space="preserve">Средний ремонт круглых иллюминаторов (камбуза, туалета, душевой и помещений на главной палубе). Ø-320 мм., с заменой уплотнительной резины (11х11мм) и ремонт задраек (шток L-110 мм., Ø-18 мм.)-63 шт</t>
  </si>
  <si>
    <t xml:space="preserve">378 100,00</t>
  </si>
  <si>
    <t>3.25</t>
  </si>
  <si>
    <t xml:space="preserve">Замена короба вентиляционного закрытия 160 х 210 мм. метал ð-3 мм., с заменой уплотнительной резины (22х22 мм.) в крышке вентиляции. 2 палуба 75 шп.</t>
  </si>
  <si>
    <t>3.28</t>
  </si>
  <si>
    <t xml:space="preserve">Произвести капитальный ремонт ВГН дверей наружного контура (демонтаж, доставка в цех, дефектация, ремонт, замена уплотнительной резины, доставка на судно, монтаж.) Н-1650 мм. В-650 мм.</t>
  </si>
  <si>
    <t xml:space="preserve">226 860,00</t>
  </si>
  <si>
    <t>3.28.1</t>
  </si>
  <si>
    <t xml:space="preserve">Замена обшивки дверей из жести оцинкованной д. = 1 мм с изоляцией д. = 50 мм Sодн = 1,2 м2. Закрепить саморезами с прессшайбой 4,2х19 мм.. Зачистить комингс дверей, устранить неровности путем правки Sодн = 0,5 м2. Произвести наплавку Vодн=0,28 дм3. Обеспечить прилегаение дверей к комингсу.</t>
  </si>
  <si>
    <t xml:space="preserve">80 934,4</t>
  </si>
  <si>
    <t>3.29</t>
  </si>
  <si>
    <t xml:space="preserve">Произвести капитальный ремонт прямоугольного створчетого иллюминатора, размером в свету 400х600 мм, в каюте СПКМ. </t>
  </si>
  <si>
    <t>3.30</t>
  </si>
  <si>
    <t xml:space="preserve">Восстановление короба воздуховода 700х400 мм. Н-300 мм. в районе  57шп. ПрБ по срезу надстройки над трюмом, сталь Ϭ-5 мм.</t>
  </si>
  <si>
    <t>м²</t>
  </si>
  <si>
    <t xml:space="preserve">37 810,00</t>
  </si>
  <si>
    <t>3.30.1</t>
  </si>
  <si>
    <t xml:space="preserve">Заменить крышку ВГН на коробе 500х350 мм, зачистка пазов под резиновое уплотнение S = 0,37 м2, замена резинового уплотнения 20х20 мм, L=2 п.м., Заменить барашки 4 шт. </t>
  </si>
  <si>
    <t>компл</t>
  </si>
  <si>
    <t xml:space="preserve">43 294,4</t>
  </si>
  <si>
    <t xml:space="preserve">Главный двигатель 6 NVD 26A-3  287 KW</t>
  </si>
  <si>
    <t>4.1</t>
  </si>
  <si>
    <r>
      <t xml:space="preserve">Произвести средний  ремонт 6 NVD 26A-3  287 KW n-1000 об/мин  </t>
    </r>
    <r>
      <rPr>
        <sz val="11"/>
        <color theme="1"/>
        <rFont val="Times New Roman"/>
      </rPr>
      <t xml:space="preserve">№ 1(№ 5810489) и №2(№ 5810476)</t>
    </r>
    <r>
      <rPr>
        <sz val="11"/>
        <rFont val="Times New Roman"/>
      </rPr>
      <t xml:space="preserve">. Произвести предремонтные испытания. Составить формуляр. По окончании ремонта сдать двигатели на швартовых и ходовых испытаниях. Результаты ремонта занести в формуляр. Предъявить РМРС и л\с.</t>
    </r>
  </si>
  <si>
    <t>4.1.1</t>
  </si>
  <si>
    <t xml:space="preserve">Цилиндровые крышки. Демонтаж, разборка, очистка, дефектовка, обмеры деталей. Проточка цилиндровых крышек на станке. Проточка, притирка клапанов. Замена направляющих клапанов. Перебрать, притереть, и испытать пусковые клапана.  Перебрать и настроить предохранительные клапана. Дефектовка, замена, притирка по факту, индикаторных клапанов. Опрессовать цилиндровые крышки, собрать с заменой уплотнений и установить на место. Предъявить Регистру.</t>
  </si>
  <si>
    <t>шт.</t>
  </si>
  <si>
    <t>4.1.2</t>
  </si>
  <si>
    <t xml:space="preserve">Цилиндровые втулки. Демонтаж, очистка поверхностей, магнитная дефектоскопия опорных буртов, произвести  обмеры. Риски, задиры, натиры, коррозия, наволакивание метала на рабочие поверхности устранить. Уплотнительные поверхности втулки и блока притереть, проверить на краску. Произвести монтаж с заменой уплотнительных колец. Предъявить Регистру.</t>
  </si>
  <si>
    <t>4.1.3</t>
  </si>
  <si>
    <t xml:space="preserve">Поршни.  Демонтаж, очистка, обмер поршней. Дефектоскопия. Замена поршневых колец. Обмер кепов. Взвешивание поршней. Монтаж. Проверка высоты камеры сжатия. Предъявление Регистру.</t>
  </si>
  <si>
    <t>4.1.4</t>
  </si>
  <si>
    <t xml:space="preserve">Шатуны. Демонтаж, очистка, магнитная дефектоскопия разъёмов, обмеры. Монтаж. Обмерить мотылёвые подшипники. При необходимости заменить. Составить карту обмеров, внести в формуляр. Формуляр предъявить РМРС и экипажу.</t>
  </si>
  <si>
    <t>4.1.5</t>
  </si>
  <si>
    <t xml:space="preserve">Рамовые подшипники. Демонтаж, дефектовка, замена при необходимости. Предъявление Регистру. Монтаж.</t>
  </si>
  <si>
    <t>4.1.6</t>
  </si>
  <si>
    <t xml:space="preserve">Шатунные болты. Дефектовка, замена при необходимости. Предъявление Регистру.</t>
  </si>
  <si>
    <t>4.1.7</t>
  </si>
  <si>
    <t xml:space="preserve">Блок цилиндров. Зачистка проверка блока на наличие коррозийных разъеданий со стороны полости охлаждения, магнитная дефектоскопия опорных буртов, гидровлические испытания полости охлаждения в сборе со втулками</t>
  </si>
  <si>
    <t>4.1.8</t>
  </si>
  <si>
    <t xml:space="preserve">Распредвал. Открыть распредвал, осмотреть состояние кулачков распредвала промерить зазоры в подшипниках, осевой разбег, составить карту обмеров, занести в формуляр. Разобрать по указанию экипажа по два подшипника на каждом двигателе, дефектовать, предъявить шейки распредвала на снятых подшипниках и подшипники. Предъявление Регистру.</t>
  </si>
  <si>
    <t>4.1.9</t>
  </si>
  <si>
    <t xml:space="preserve">Шестерни привода от коленвала до распредвала. Осмотр, замер зазоров в зацеплении (свинцовые выжимки). При необходимости заменить.</t>
  </si>
  <si>
    <t>компл.</t>
  </si>
  <si>
    <t>4.1.10</t>
  </si>
  <si>
    <t xml:space="preserve">Коленчатый вал. Снять раскепы до и после ремонта, произвести обмеры шеек вала, подшипников, приводных шестерён.</t>
  </si>
  <si>
    <t>4.1.11</t>
  </si>
  <si>
    <t xml:space="preserve">ТНВД в сборе с регулятором числа оборотов. Произвести дефектовку привода, заменить манжеты уплотнения на насосе и на главном двигателе, проверить, опресовать плунжерные пары с невозвратными клапанами, дефектные заменить, предъявить экипажу, проверить на стенде дозировку подачи топлива, нулевая подача топлива, работа регулятора, установка заданных оборотов на регуляторе оборотов, установить на штатное место предъявить в работе экипажу.</t>
  </si>
  <si>
    <t>4.1.12</t>
  </si>
  <si>
    <t xml:space="preserve">Навесной масляный насос ГД №1,2. Отсоединить трубопроводы, демонтировать насос. Доставить в цех,  произвести  дефектовку деталей, изношенные заменить, сопрягаемые поверхности притереть, заменить уплотнения. Произвести  дефектовку шестерен привода, дефектные заменить. Собрать насос, доставить на судно. Установить по месту, произвести обвязку, предъявить в работе. Предъявление РМРС.</t>
  </si>
  <si>
    <t xml:space="preserve">Включено </t>
  </si>
  <si>
    <t>4.1.13</t>
  </si>
  <si>
    <t xml:space="preserve">Навесные насосы пресной и забортной воды ГД №1,2. Отсоединить трубопроводы, демонтировать насосы. Доставить в цех, произвести дефектовку деталей, изношенные заменить \механические сальники, манжеты заменить\, сопрягаемые поверхности почистить, заменить уплотнения, заменить подшипники. Собрать насос, доставить на судно. Установить по месту, произвести обвязку. Предъявление РМРС.</t>
  </si>
  <si>
    <t>4</t>
  </si>
  <si>
    <t>4.1.14</t>
  </si>
  <si>
    <t xml:space="preserve">Главный пусковой клапан. Произвести дефектовку, проточить, притереть, опрессовать предъявить экипажу. Установить на место.</t>
  </si>
  <si>
    <t>4.1.15</t>
  </si>
  <si>
    <t xml:space="preserve">Воздухораспределитель. Произвести дефектовку, ремонт, притирка.</t>
  </si>
  <si>
    <t>4.1.16</t>
  </si>
  <si>
    <t xml:space="preserve">Заменить термометры системы охлаждения на цилиндровых крышках. Температурный диапазон до 100 градусов С.  Ø-17 мм.,  длинна ножки 70 мм.</t>
  </si>
  <si>
    <t xml:space="preserve">66 167, 50 </t>
  </si>
  <si>
    <t>4.1.17</t>
  </si>
  <si>
    <t xml:space="preserve">Заменить термометры температуры масла. Температурный диапазон до 100 градусов С. Ø 17 мм длинна ножки 70 мм</t>
  </si>
  <si>
    <t>8</t>
  </si>
  <si>
    <t>4.1.18</t>
  </si>
  <si>
    <t xml:space="preserve">Заменить, после сборки ГД, изоляционные короба выпускной системы (защитные кожуха выпускного коллектора 2000х200х200 мм.). Три стенки толщиной 1 мм, с негорючей изоляцией между стенками, по образцу. </t>
  </si>
  <si>
    <t>4.1.19</t>
  </si>
  <si>
    <t xml:space="preserve">Компенсаторы трубопровода выхлопных газов Ø-300 мм., дефектовать, ремонт согласно дефектовки. Заменить уплотнения компенсаторов. Восстановить изоляцию.</t>
  </si>
  <si>
    <t>4.1.20</t>
  </si>
  <si>
    <t xml:space="preserve">Газо-турбо нагнетатель тип Н3. Произвести средний ремонт, демонтаж, дефектовку деталей, ремонт с заменой изношенных деталей. Замена подшипников: А7305SPA -2 шт., А7305G.MPA.P2 -2 шт. Балансировка ротора. Составить формуляр. Сборка, монтаж. Сдать ОТК. Предъявить РМРС, л/с.</t>
  </si>
  <si>
    <t xml:space="preserve">Реверсивно-редукторная передача SW-400. </t>
  </si>
  <si>
    <t>4.2.1</t>
  </si>
  <si>
    <t xml:space="preserve">Средний ремонт. Разобрать, произвести дефектовку тормозных лент,  проверить зазоры\свинцовая выжимка\ и состояние осевых \опорных\ подшипников, радиального \упорного\ подшипника скольжения  Митчелла, состояние сегментов, заменить резиновые уплотнения на гидравлике редуктора. Дефектовать состояние поршней,  поршневых втулок, проверить зазоры в зубчатых передачах, проверить состояние подшипников на блоке сателлитов, изношенные подшипники и детали заменить, произвести средний ремонт навесных шестерёнчатых насосов, опрессовать на стенде, собрать, в процессе сборки поэтапно предъявить экипажу. Установить отсутствующие новые корпуса (стаканы) с сетчатыми фильтрами. По две секции на каждый редуктор.  Произвести швартовые и ходовые испытания. Предъявить л.с. Предъявить РМРС.</t>
  </si>
  <si>
    <t xml:space="preserve">ДГРА 100/750 (6Ч 18/22 100 KW)</t>
  </si>
  <si>
    <t>4..3</t>
  </si>
  <si>
    <r>
      <t xml:space="preserve">Произвести средний  ремонт ВДГ№2  (№ 312323152204).</t>
    </r>
    <r>
      <rPr>
        <sz val="11"/>
        <color indexed="2"/>
        <rFont val="Times New Roman"/>
      </rPr>
      <t xml:space="preserve"> </t>
    </r>
    <r>
      <rPr>
        <sz val="11"/>
        <color theme="1"/>
        <rFont val="Times New Roman"/>
      </rPr>
      <t xml:space="preserve">Произвести предремонтные испытания. Составить формуляр. По окончании ремонта сдать на швартовых и ходовых испытаниях. Результаты ремонта занести в формуляр. Предъявить РМРС и л\с.</t>
    </r>
  </si>
  <si>
    <t>4.3.1</t>
  </si>
  <si>
    <t xml:space="preserve">Цилиндровые крышки. Демонтаж, разборка, очистка, дефектовка, обмеры деталей. Проточка клапанов. Заменить направляющие клапанов. Перебрать, притереть, и опрессовать пусковые клапана.  Перебрать и настроить предохранительные клапана. Опрессовать цилиндровые крышки, собрать с заменой уплотнений и установить на место. Предъявить РМРС.</t>
  </si>
  <si>
    <t>6</t>
  </si>
  <si>
    <t>4.3.2</t>
  </si>
  <si>
    <t xml:space="preserve">Цилиндровые втулки. Демонтаж, очистка поверхностей, магнитная дефектоскопия опорных буртов, произвести  обмеры. Риски, задиры, натиры, коррозия, наволакивание метала на рабочие поверхности устранить. Уплотнительные поверхности втулки и, блока притереть. проверить на краску. Произвести монтаж опрессовку с заменой уплотнительных колец.</t>
  </si>
  <si>
    <t>4.3.3</t>
  </si>
  <si>
    <t xml:space="preserve">Поршни.  Демонтаж, очистка, обмер поршней. Дефектоскопия. Замена поршневых колец. Монтаж. Замерить зазор в кепах. Проверка высоты камеры сжатия. Предъявление РМРС.</t>
  </si>
  <si>
    <t>4.3.4</t>
  </si>
  <si>
    <t xml:space="preserve">Шатуны. Демонтаж, очистка, магнитная дефектоскопия разъёмов, обмеры. Предъявление РМРС. Монтаж.</t>
  </si>
  <si>
    <t>4.3.5</t>
  </si>
  <si>
    <t xml:space="preserve">Рамовые подшипники. Демонтаж, дефектовка, замена при необходимости. Предъявление РМРС. Монтаж.</t>
  </si>
  <si>
    <t>7</t>
  </si>
  <si>
    <t>4.3.6</t>
  </si>
  <si>
    <t xml:space="preserve">Шатунные подшипники. Демонтаж, дефектовка, замена при необходимости. Предъявление РМРС. Монтаж.</t>
  </si>
  <si>
    <t>4.3.7</t>
  </si>
  <si>
    <t xml:space="preserve">Коленчатый вал. Обмер шеек, замена торцовых уплотнений на стойках рамовых подшипников \лобовина\ . Произвести замер расскепов до и после ремонта.</t>
  </si>
  <si>
    <t>1</t>
  </si>
  <si>
    <t>4.3.8</t>
  </si>
  <si>
    <t xml:space="preserve">Блок цилиндров. Зачистка проверка блока на наличие коррозийных разъеданий со стороны полости охлаждения, магнитная дефектоскопия опорных буртов, гидровлические испытания полости охлаждения в сборе со втулками.</t>
  </si>
  <si>
    <t>4.3.9</t>
  </si>
  <si>
    <t xml:space="preserve">Распредвал. Открыть распредвал, осмотреть состояние кулачков распредвала промерить зазоры в подшипниках, осевой разбег, составить карту замеров. Разобрать по указанию экипажа по два подшипника на каждом двигателе, отдефектовать, предъявить шейки распредвала на снятых подшипниках и подшипники. Предъявление РМРС.</t>
  </si>
  <si>
    <t>4.3.10</t>
  </si>
  <si>
    <t xml:space="preserve">Шестерни привода распредвала. Осмотр, дефектовка, замер цапф, замер втулок цапф, замер зазоров в зацеплении \свинцовые выжимки\.</t>
  </si>
  <si>
    <t>4.3.11</t>
  </si>
  <si>
    <t xml:space="preserve">Привод регулятора числа оборотов. Произвести дефектовку привода, при необходимости заменить муфты, шестерни.</t>
  </si>
  <si>
    <t>4.3.12</t>
  </si>
  <si>
    <t xml:space="preserve">ТНВД.  Проверить, опрессовать плунжерные пары с невозвратными клапанами, дефектные заменить, предъявить экипажу, проверить на стенде дозировку подачи топлива, нулевая подача топлива, установить на штатное место предъявить в работе л/с. Произвести дефектовку привода, заменить дефектные детали.</t>
  </si>
  <si>
    <t>4.3.13</t>
  </si>
  <si>
    <t xml:space="preserve">Форсунки. Демонтаж, разобрать, очистить, притереть сопрягаемые поверхности. Замена распылителей, замена РТИ, собрать, опрессовать, установить на место, предъявить в работе л/с.</t>
  </si>
  <si>
    <t>4.3.14</t>
  </si>
  <si>
    <t xml:space="preserve">Навесной масляный насос ДГ №2. Отсоединить трубопроводы, демонтировать насос. Доставить в цех, произвести дефектовку деталей, изношенные заменить, сопрягаемые поверхности притереть, заменить уплотнения. Собрать насос, доставить на судно. Установить по месту, произвести обвязку, предъявить в работе. Предъявление РМРС.</t>
  </si>
  <si>
    <t>4.3.15</t>
  </si>
  <si>
    <t xml:space="preserve">Навешанный блок-насосов пресной и забортной воды ДГ №2. Отсоединить трубопроводы, демонтировать насосы. Доставить в цех, произвести дефектовку деталей, изношенные заменить, сопрягаемые поверхности притереть, заменить механические уплотнения, манжеты, подшипники. Собрать насос, доставить на судно. Установить по месту, произвести обвязку. Предъявление РМРС.</t>
  </si>
  <si>
    <t>4.3.16</t>
  </si>
  <si>
    <t xml:space="preserve">Воздухораспределитель. Произвести дефектовку, ремонт согласно дефектовки с заменой уплотнения.</t>
  </si>
  <si>
    <t>4,3.17</t>
  </si>
  <si>
    <t xml:space="preserve">Главный пусковой клапан. Произвести дефектовку, проточить, притереть, ремонт согласно дефектовки с заменой РТИ.</t>
  </si>
  <si>
    <t>4,3.18</t>
  </si>
  <si>
    <t xml:space="preserve">Заменить после сборки ДГ изоляционные короба выпускной системы (защитные кожуха выпускного коллектора 3000х300х300 мм.). Три стенки толщиной 1 мм, негорючая изоляция между двумя стенками, по образцу.</t>
  </si>
  <si>
    <t>4.3.19</t>
  </si>
  <si>
    <t xml:space="preserve">Произвести средний ремонт регулятора оборотов с заменой приводных муфт. ВДГ№2. Предъявить ОТК, л/с, РМРС.</t>
  </si>
  <si>
    <t>4.3.20</t>
  </si>
  <si>
    <t xml:space="preserve">Произвести моточистку  ВДГ№1 (№312323152209). По указанию л/с разобрать два движения, предъявить РМРС.</t>
  </si>
  <si>
    <t>4.3.20(1)</t>
  </si>
  <si>
    <t xml:space="preserve">Произвести моточистку  ВДГ№1 (№312323152209). По результату дефектации закупить и заменить:  Шайба (пластина) стопорная гаек крепления  коромысел - 4 шт.;  Прокладка уплотн-я  под  цил.крышку - 2 шт.;  Прокладка уплотнительная цил.крышка-  выхлопной коллектор - 2 шт.; Прокладка уплотнительная крышка-колпак (резиновая) - 2 шт.; Прокладка медная уплот-я  под клапан - 2 шт.; Прокладка под бурт цил.втулки (латунь) Втулка №3  Ф210/200 Н 0,10мм. - 2 шт.; Кольцо уплотнительное резиновое втулки цил-ра-3шт. Кольцо уплотнительное резиновое антикавитационное-1шт.. Втулка цилиндра № 3 - притирка опорных буртов по цилиндровому блоку.</t>
  </si>
  <si>
    <t>4.3.20.1</t>
  </si>
  <si>
    <t xml:space="preserve">ТНВД ВДГ №1.  Проверить, опрессовать плунжерные пары с невозвратными клапанами, дефектные заменить, предъявить экипажу, проверить на стенде дозировку подачи топлива, нулевая подача топлива, установить на штатное место предъявить в работе л/с. Произвести дефектовку привода, заменить дефектные детали.</t>
  </si>
  <si>
    <t>4.3.20.2</t>
  </si>
  <si>
    <t>4.3.20.3</t>
  </si>
  <si>
    <t xml:space="preserve">Произвести дефектацию и ремонт, согласно дефектации регулятора оборотов. ВДГ№1. Предъявить ОТК, л/с.</t>
  </si>
  <si>
    <t>4.4</t>
  </si>
  <si>
    <t xml:space="preserve">Рулевая машина "Печора РО-7" </t>
  </si>
  <si>
    <t>4.4.1</t>
  </si>
  <si>
    <t xml:space="preserve">Рулевую машину, насосы рулевой машины НШ-10  10 м3/час. Произвести средний ремонт, Разобрать, дефектовать, ремонт по результатам дефектовки. Результаты ремонта занести в формуляр. Собрать, предъявить в работе. Предъявить РМРС.</t>
  </si>
  <si>
    <t xml:space="preserve">Воздушный компрессор 2ОК-1, 4,5 kW 1450 об/мин</t>
  </si>
  <si>
    <t>4.5.1</t>
  </si>
  <si>
    <t xml:space="preserve">Произвести средний ремонт. Демонтаж, доставка в цех. Разобрать, дефектовать, ремонт согласно дефектовки, притирка или замена клапанов \пластин\ первой и второй ступени, предъявить в работе. Обмерить втулки, поршни, заменить кольца первой и второй ступени. Результаты ремонта занести в формуляр. Предъявить РМРС.  </t>
  </si>
  <si>
    <t>4.5.2</t>
  </si>
  <si>
    <t xml:space="preserve">Почистить зарубашечное пространство цилиндров, окрасить, установить втулки, притереть бурты, опрессовать. Головки цилиндров, внутреннее пространство очистить, опрессовать. Влагоотделитель очистить, опрессовать. Сопрягаемые места при сборки притереть, заменить уплотнения.</t>
  </si>
  <si>
    <t>4.5.3</t>
  </si>
  <si>
    <t xml:space="preserve">Шатуны. Демонтаж, очистка, магнитная дефектоскопия разъёмов, обмеры. Монтаж. Обмерить рамовые, шатунные подшипники. Дефектные заменить. Составить карту обмеров внести в формуляр. </t>
  </si>
  <si>
    <t>4.5.4</t>
  </si>
  <si>
    <t xml:space="preserve">Произвести средний ремонт предохранительных клапанов ДУ-15. Дефектовать, ремонт согласно дефектовки, собрать, установить на место. Предъявить РМРС с подрывом клапанов. </t>
  </si>
  <si>
    <t xml:space="preserve">БАЛЛОНЫ СЖАТОГО ВОЗДУХА</t>
  </si>
  <si>
    <t>4.6</t>
  </si>
  <si>
    <t xml:space="preserve">Баллон пусковой V-250 л.  Произвести демонтаж клапанов, дефектовать, подготовить к внутреннему освидетельствованию, предъявить РМРС, установить клапана на штатное место. Составить формуляр. Предъявить ОТК, л/с, РМРС с подрывом клапанов. </t>
  </si>
  <si>
    <t>4.7</t>
  </si>
  <si>
    <t xml:space="preserve">Баллон пусковой V-40 л.  Произвести демонтаж клапанов, дефектовать, подготовить к внутреннему освидетельствованию, предъявить РМРС, установить клапана на штатное место. Составить формуляр. Предъявить ОТК, л/с, РМРС с подрывом клапанов.  </t>
  </si>
  <si>
    <t>4.8</t>
  </si>
  <si>
    <t xml:space="preserve">Баллон пусковой V-64 л.  Произвести демонтаж клапанов, дефектовать, подготовить к внутреннему освидетельствованию, предъявить РМРС, установить клапана на штатное место. Составить формуляр. Предъявить ОТК, л/с, РМРС с подрывом клапанов.  </t>
  </si>
  <si>
    <t>4.9</t>
  </si>
  <si>
    <t xml:space="preserve">Произвести средний ремонт предохранительных клапанов ДУ-25. Демонтировать, доставить в цех, разобрать, притереть тарелку клапана к седлу, заменить дефектные детали, набивку, опрессовать, предъявить РМРС, заказчику. Установить на место с заменой дефектного крепежа, прокладок. Предъявить РМРС с подрывом клапанов. </t>
  </si>
  <si>
    <t>4.10</t>
  </si>
  <si>
    <t xml:space="preserve">Произвести средний ремонт воздушных клапанов ДУ-25. Демонтировать, доставить в цех, разобрать, притереть тарелку клапана к седлу, заменить дефектные детали, набивку, опрессовать, предъявить РМРС, заказчику. Установить на место с заменой дефектного крепежа, прокладок.</t>
  </si>
  <si>
    <t>4.11</t>
  </si>
  <si>
    <t xml:space="preserve">Произвести средний ремонт воздушных клапанов ДУ-20. Демонтировать, доставить в цех, разобрать, притереть тарелку клапана к седлу, заменить дефектные детали, набивку, опрессовать, предъявить РМРС, заказчику. Установить на место с заменой дефектного крепежа, прокладок.</t>
  </si>
  <si>
    <t>4.12</t>
  </si>
  <si>
    <t xml:space="preserve">Произвести средний ремонт воздушных клапанов ДУ-10. Демонтировать, доставить в цех, разобрать, притереть тарелку клапана к седлу, заменить дефектные детали, набивку, опрессовать, предъявить РМРС, заказчику. Установить на место с заменой дефектного крепежа, прокладок.</t>
  </si>
  <si>
    <t>4.13</t>
  </si>
  <si>
    <t xml:space="preserve">Произвести средний ремонт воздушных клапанов ДУ-8. Демонтировать, доставить в цех, разобрать, притереть тарелку клапана к седлу, заменить дефектные детали, набивку, опрессовать, предъявить РМРС, заказчику. Установить на место с заменой дефектного крепежа, прокладок.</t>
  </si>
  <si>
    <t>НАСОСЫ</t>
  </si>
  <si>
    <t>4.14</t>
  </si>
  <si>
    <r>
      <t xml:space="preserve">Пожарный насос НЦВ 63/80 Q-63 куб.м/час. Произвести средний ремонт Разобрать, дефектовать, ремонт по результатам дефектовки, Собрать, сдать в работе. Составить формуляр.</t>
    </r>
    <r>
      <rPr>
        <sz val="11"/>
        <color indexed="2"/>
        <rFont val="Times New Roman"/>
      </rPr>
      <t xml:space="preserve"> </t>
    </r>
    <r>
      <rPr>
        <sz val="11"/>
        <rFont val="Times New Roman"/>
      </rPr>
      <t xml:space="preserve">Предъявить ОТК, л/с, РМРС.</t>
    </r>
  </si>
  <si>
    <t>4.15</t>
  </si>
  <si>
    <t xml:space="preserve">Балластно-осушительный насос НЦВС 40/20 Q-40 куб.м/час Р-2 кг/см2 n-2900. Произвести средний ремонт. Разобрать, дефектовать, ремонт по результатам дефектовки, собрать, сдать в работе.  Составить формуляр. Предъявить ОТК, л/с, РМРС.</t>
  </si>
  <si>
    <t>4.16</t>
  </si>
  <si>
    <t xml:space="preserve">Осушительный насос НЦВС 40/20 Q-40 куб.м/час Р-2 кг/см2 n-2900. с вакуумной приставкой. Произвести средний ремонт. Разобрать, дефектовать, ремонт по результатам дефектовки, собрать, сдать в работе. Составить формуляр. Предъявить ОТК, л/с, РМРС.</t>
  </si>
  <si>
    <t>4.17</t>
  </si>
  <si>
    <t xml:space="preserve">Фекальный насос ЭСН-14 Q-28 куб.м/час. Произвести средний ремонт. Разобрать, дефектовать, ремонт по результатам дефектовки, собрать, сдать в работе. Составить формуляр. Предъявить ОТК, л/с.</t>
  </si>
  <si>
    <t>4.18</t>
  </si>
  <si>
    <t xml:space="preserve">Резервный насос забортной воды главного двигателя  KRZ 10-32/160. Произвести средний ремонт. Демонтаж, дефектовать, произвести ремонт по результатам дефектовки, произвести обмеры колец, крылатки насоса, составить формуляр, заменить механический сальник, монтаж на штатное место. Предъявить ОТК, л/с.</t>
  </si>
  <si>
    <t>4.19</t>
  </si>
  <si>
    <t xml:space="preserve">Резервный насос пресной воды главного двигателя, НЦВ 40/60. Произвести средний ремонт. Демонтаж,  дефектовать, ремонт по результатам дефектовки, Заменить уплотнения на новое, собрать, сдать в работе. Составить формуляр. Предъявить ОТК, л/с.</t>
  </si>
  <si>
    <t>4.20</t>
  </si>
  <si>
    <t xml:space="preserve">Насос гидрофора забортной воды ЦВС 10/40 Q-10 куб.м/час. Произвести средний ремонт. Демонтаж,  дефектовать, ремонт по результатам дефектовки, заменить механические сальники, собрать, сдать в работе. Составить формуляр. Предъявить ОТК, л/с.</t>
  </si>
  <si>
    <t>4.21</t>
  </si>
  <si>
    <t xml:space="preserve">Насос гидрофора пресной воды ЦВС 10/40 Q-10 куб.м/час. Произвести средний ремонт. Демонтаж,  дефектовать, ремонт по результатам дефектовки, заменить механические сальники, собрать, сдать в работе. Составить формуляр. Предъявить ОТК, л/с.</t>
  </si>
  <si>
    <t>4.22</t>
  </si>
  <si>
    <t xml:space="preserve">Топливоперекачивающий  насос Ш- 40-6-1,8/3Б5 Q-18 м3 930 об/мин. Произвести средний ремонт. Демонтаж,  дефектовать, ремонт по результатам дефектовки, собрать, сдать в работе. Составить формуляр. Предъявить ОТК, л/с, РМРС.</t>
  </si>
  <si>
    <t>4.23</t>
  </si>
  <si>
    <t xml:space="preserve">Топливный сепаратор СЦ-1,5. Произвести средний ремонт. Демонтаж, дефектовать, ремонт по результатам дефектовки, монтаж, предъявить в работе. Предъявить ОТК, л/с, РМРС.</t>
  </si>
  <si>
    <t>4.24</t>
  </si>
  <si>
    <t xml:space="preserve">Дежурный топливный насос ШФ- 25-3,6/4Б13М5 Q-3,6 куб.м/час. 1420 об/мин. Произвести средний ремонт. Демонтаж,  дефектовать, ремонт по результатам дефектовки, собрать, сдать в работе. Составить формуляр. Предъявить ОТК, л/с, РМРС.</t>
  </si>
  <si>
    <t>4.25</t>
  </si>
  <si>
    <t xml:space="preserve">Насос прокачки маслом ГД DLFI  Q-6.3куб.м./час, Р-10bar/ . Произвести средний ремонт. Демонтаж,  дефектовать, ремонт по результатам дефектовки, собрать, сдать в работе. Составить формуляр. Предъявить ОТК, л/с.</t>
  </si>
  <si>
    <t xml:space="preserve">Арматура МО</t>
  </si>
  <si>
    <t>4.26</t>
  </si>
  <si>
    <t xml:space="preserve">Клапан пожарный Ру10/65 угловой. Произвести средний ремонт. Демонтировать, доставить в цех, разобрать, притереть тарелку клапана к седлу, заменить дефектные детали, набивку, опресовать, предъявить РМРС, заказчику. Установить на место с заменой дефектного крепежа, прокладок.</t>
  </si>
  <si>
    <t>4.26.1.</t>
  </si>
  <si>
    <t xml:space="preserve">По результатам дефектации произвести изготовление и замену тарелок клапанов.</t>
  </si>
  <si>
    <t>4.27</t>
  </si>
  <si>
    <t xml:space="preserve">Предохранительный клапан пожарной системы Ду100 угловой. Произвести средний ремонт. Демонтировать, доставить в цех, разобрать, притереть тарелку клапана к седлу, заменить дефектные детали, набивку, опресовать, предъявить РМРС, заказчику. Установить на место с заменой дефектного крепежа, прокладок.</t>
  </si>
  <si>
    <t>4.27.1.</t>
  </si>
  <si>
    <t xml:space="preserve">По результатам дефектации произвести изготовление и замену пружины</t>
  </si>
  <si>
    <t>4.28</t>
  </si>
  <si>
    <t xml:space="preserve">Клапан пожарный Ру 10/65. Произвести средний ремонт. Демонтировать, доставить в цех, разобрать, притереть тарелку клапана к седлу, заменить дефектные детали, набивку, опресовать, предъявить РМРС, заказчику. Установить на место с заменой дефектного крепежа, прокладок.</t>
  </si>
  <si>
    <t>4.29</t>
  </si>
  <si>
    <t xml:space="preserve">Клапана всасывания и нагнетания пожарных насосов Ду-100. Произвести средний ремонт. Демонтировать, доставить в цех, разобрать, притереть тарелку клапана к седлу, заменить дефектные детали, набивку, опресовать, предъявить РМРС, заказчику. Установить на место с заменой дефектного крепежа, прокладок.</t>
  </si>
  <si>
    <t>4.30</t>
  </si>
  <si>
    <t xml:space="preserve">Клапан балластно-осушительной системы  Ду-100. Произвести средний ремонт. Демонтировать, доставить в цех, разобрать, притереть тарелку клапана к седлу, заменить дефектные детали, набивку, опресовать, предъявить РМРС, заказчику. Установить на место с заменой дефектного крепежа, прокладок.</t>
  </si>
  <si>
    <t>4.31</t>
  </si>
  <si>
    <t xml:space="preserve">Клапана топливных танков № 3,4 с дистанционным приводом  Ду -80.  Произвести средний ремонт. Демонтировать, доставить в цех, разобрать, притереть тарелку клапана к седлу, заменить дефектные детали, набивку, опресовать, предъявить РМРС, заказчику. Дистанционный привод клапанов восстановить по месту установки. Установить на место с заменой дефектного крепежа, прокладок.</t>
  </si>
  <si>
    <t>4.32</t>
  </si>
  <si>
    <t xml:space="preserve">Клапана топливных танков № 6,7 с дистанционным приводом  Ду -40.  Произвести средний ремонт. Демонтировать, доставить в цех, разобрать, притереть тарелку клапана к седлу, заменить дефектные детали, набивку, опресовать, предъявить РМРС, заказчику. Дистанционный привод клапанов восстановить по месту установки. Установить на место с заменой дефектного крепежа, прокладок.</t>
  </si>
  <si>
    <t>4.33</t>
  </si>
  <si>
    <t xml:space="preserve">Быстрозапорные клапана топливного танка №12 (расходной) с дистанционным приводом  Ду -25.  Произвести средний ремонт. Демонтировать, доставить в цех, разобрать, притереть тарелку клапана к седлу, заменить дефектные детали, набивку, опресовать, предъявить РМРС, заказчику. Установить на место с заменой дефектного крепежа, прокладок.</t>
  </si>
  <si>
    <t>4.34</t>
  </si>
  <si>
    <t xml:space="preserve">Быстрозапорные клапана  отстойных топливных танков с дистанционным приводом. Ду -32.  Произвести средний ремонт. Демонтировать, доставить в цех, разобрать, притереть тарелку клапана к седлу, заменить дефектные детали, набивку, опресовать, предъявить РМРС, заказчику. Установить на место с заменой дефектного крепежа, прокладок.</t>
  </si>
  <si>
    <t>4.35</t>
  </si>
  <si>
    <t xml:space="preserve">Клапана гидрофоров пресной и забортной воды. Ду - 40.  Произвести средний ремонт. Демонтировать, доставить в цех, разобрать, притереть тарелку клапана к седлу, заменить дефектные детали, набивку, опресовать, предъявить РМРС, заказчику. Установить на место с заменой дефектного крепежа, прокладок.</t>
  </si>
  <si>
    <t>4.36</t>
  </si>
  <si>
    <t xml:space="preserve">Невозвратные клапана гидрофоров пресной и забортной воды. Ду - 40.  Произвести средний ремонт. Демонтировать, доставить в цех, разобрать, притереть тарелку клапана к седлу, заменить дефектные детали, набивку, опресовать, предъявить РМРС, заказчику. Установить на место с заменой дефектного крепежа, прокладок.</t>
  </si>
  <si>
    <t>4.36.1</t>
  </si>
  <si>
    <t xml:space="preserve">По результатам дефектации произвести изготовление и замену тарелки клапана.</t>
  </si>
  <si>
    <t>ТРУБОПРОВОД</t>
  </si>
  <si>
    <t>4.37</t>
  </si>
  <si>
    <t xml:space="preserve">Произвести замену трубопровода забортной воды санитарной системы, труба оцинков Ø 40 мм., стенка Ϭ-2,5 мм; два отвода 45°, два отвода 90°, два изгиба 30°.  8 штуцеров соединения, 4 фланца.</t>
  </si>
  <si>
    <t>п/м</t>
  </si>
  <si>
    <t>4.38</t>
  </si>
  <si>
    <t xml:space="preserve">Замена трубопровода подогрева сепаратора льяльных вод, Ø 26 мм., труба оцинков. ШТС - 2 шт. </t>
  </si>
  <si>
    <t>4.39</t>
  </si>
  <si>
    <t xml:space="preserve">Замена участков трубопровода подогрева ВДГ №1,№2 , Ø 26 мм., труба стальная, 4 отвода 90°, ШТС-2 шт.</t>
  </si>
  <si>
    <t>4.39.1</t>
  </si>
  <si>
    <t xml:space="preserve">Трубопровод подогрева ВДГ №1,№2 Ø 26 мм. Замена дюритов- 4 шт. по 500 мм </t>
  </si>
  <si>
    <t>4.40</t>
  </si>
  <si>
    <t xml:space="preserve">Замена участков трубопровода охлаждения дейдвуда Ø 32 мм. Один из участков с двумя врезками Ø 32 мм. L- 1 м.</t>
  </si>
  <si>
    <t>4.41</t>
  </si>
  <si>
    <t xml:space="preserve">Заменить трубопровод забортной воды охлаждения воздушных компрессоров, труба оцинкованная Ø 26 мм. стенка Ϭ-2 мм.</t>
  </si>
  <si>
    <t>4.42</t>
  </si>
  <si>
    <t xml:space="preserve">Заменить трубопровод охлаждения забортной водой главных двигателей труба оцинкованная Ø 57 мм. стенка Ϭ-2 мм.</t>
  </si>
  <si>
    <t>4.43</t>
  </si>
  <si>
    <t xml:space="preserve">Заменить манометровые трубки по указанию личного состава, медь Ø10 мм , 8 штуцеров Ø20 мм</t>
  </si>
  <si>
    <t>4.44</t>
  </si>
  <si>
    <t xml:space="preserve">Замена участков трубопровода пресной воды в помещении фекальной цистерны Ø 26 мм. Один из участков с двумя врезками Ø 32 мм. L- 1 м., фланцы заменить на ШТС- 4 шт. </t>
  </si>
  <si>
    <t>4.45</t>
  </si>
  <si>
    <t xml:space="preserve">Трубопровод охлаждения пресной воды главного двигателя Ø 38 мм. Замена дюритов 2 шт., внутр. Ø 38 мм. L- 1200 мм.</t>
  </si>
  <si>
    <t>4.46</t>
  </si>
  <si>
    <t xml:space="preserve">Трубопровод охлаждения забортной воды главного двигателя Ø 45 мм. Замена  дюритов 2 шт., внутр. Ø 45 мм. L- 1200 мм.</t>
  </si>
  <si>
    <t>4.47</t>
  </si>
  <si>
    <t xml:space="preserve">Замена трубопровода системы осушения машинного отделения Ø 89 мм. Стенка Ϭ-4 мм.</t>
  </si>
  <si>
    <t>4.47.1</t>
  </si>
  <si>
    <t xml:space="preserve">Замена участка трубопровода системы осушения машинного отделения Ø 57 мм. Стенка Ϭ-3,5 мм. </t>
  </si>
  <si>
    <t>4.48</t>
  </si>
  <si>
    <t xml:space="preserve">Произвести замену, согласно дефектовки, трубопровода выхлопных газов ВДГ №1, ВДГ№2 в фальштрубе, стальная труба Ø 133 мм., стенка Ϭ-5 мм. Замена с восстановлением изоляции, прокладок и крепежа.  </t>
  </si>
  <si>
    <t>4.49</t>
  </si>
  <si>
    <t xml:space="preserve">Произвести замену, согласно дефектовки, трубопровода выхлопных газов ГД №1, №2 в фальштрубе, стальная труба Ø 300 мм., стенка Ϭ-5 мм. Замена с восстановлением изоляции, прокладок и крепежа. </t>
  </si>
  <si>
    <t>4.50</t>
  </si>
  <si>
    <t xml:space="preserve">Заменить участок трубопровода высокого давления системы гидравлики закрытия лядов, стальная труба Ø 38 мм., стенка Ϭ-3 мм.</t>
  </si>
  <si>
    <t>4.51</t>
  </si>
  <si>
    <t xml:space="preserve">Произвести разборку, дефектовку, замену трубопровода выхлопных газов ГД №1, №2 в машинном отделение, стальная труба Ø 300 мм., стенка Ϭ-5 мм. Замена с восстановлением изоляции, прокладок и крепежа. </t>
  </si>
  <si>
    <t>4.52</t>
  </si>
  <si>
    <t xml:space="preserve">Компенсаторы трубопровода выхлопных газов ГД №1, №2. Ø-300 мм., дефектовать, ремонт согласно дефектовки. Заменить уплотнения компенсаторов. Восстановить изоляцию.</t>
  </si>
  <si>
    <t>4.53</t>
  </si>
  <si>
    <t xml:space="preserve">Произвести замену короба вентиляции машинного отделения ЛБ, 200 х 550 мм., Ϭ-2 мм. сталь листовая. С заменой прокладок и крепежа. </t>
  </si>
  <si>
    <t>4.54</t>
  </si>
  <si>
    <t xml:space="preserve">Произвести замену брезентовых рукавов (компенсаторов) на системе вентиляции машинного отделения. Ø 300 мм., L- 400 мм.</t>
  </si>
  <si>
    <t>4.55</t>
  </si>
  <si>
    <t xml:space="preserve">Произвести замену брезентовых рукавов (компенсаторов) на системе вентиляции машинного отделения. Рукав с одной стороны круглого сечения Ø-200 мм., с другой стороны прямоугольного сечения 400х200 мм. L- 400 мм.</t>
  </si>
  <si>
    <t>4.56</t>
  </si>
  <si>
    <t xml:space="preserve">Восстановить систему перекачки пресной воды с танка запаса пресной воды № 9 через сухой отсек ЛБ в МО. Трубопровод Ø-45 мм. с невозвратнозапорными клапанами ДУ50 - 2шт.</t>
  </si>
  <si>
    <t xml:space="preserve">ТЕПЛООБМЕННЫЕ АППАРАТЫ</t>
  </si>
  <si>
    <t xml:space="preserve">Теплообменники. Произвести средний ремонт, демонтировать, доставить в цех, разобрать, произвести химическую очистку, опрессовать на стенде. Собрать с заменой уплотнительных прокладок. Монтаж на штатное место, сдать в работе заказчику. Предъявить РМРС</t>
  </si>
  <si>
    <t>4.56.1</t>
  </si>
  <si>
    <t xml:space="preserve">Водяные холодильники ГД №1-2. S=3,92 м2. </t>
  </si>
  <si>
    <t>4.56.2</t>
  </si>
  <si>
    <t xml:space="preserve">Масляные  холодильники ГД № 1-2. S=2,15 м2. </t>
  </si>
  <si>
    <t>4.56.3</t>
  </si>
  <si>
    <t xml:space="preserve">Водо-масляный холодильники  ДГ № 1-2. S=3,2 м2.</t>
  </si>
  <si>
    <t>4.56.4</t>
  </si>
  <si>
    <t xml:space="preserve">Масляные  холодильники редукторов ГД № 1-2.  S=1,26 м2., демонтировать, доставить в цех, разобрать, дефектовать, произвести химическую чистку, ремонт согласно дефектации. Опрессовать на стенде, предъявить РМРС. Собрать с заменой уплотнительных прокладок, монтаж на штатное место. Сдать в работе заказчику. </t>
  </si>
  <si>
    <t>Гидравлика.</t>
  </si>
  <si>
    <t>4.57</t>
  </si>
  <si>
    <t xml:space="preserve">Гидроцилиндр L=1600 мм; Ø=250 мм; шток Ø=94 мм.  Произвести средний ремонт. Демонтировать, доставить в цех, разобрать, ремонт согласно дефектовки. Заменить РТИ, кольца на поршнях. Восстановить коррозированную поверхность штока гидроцилиндров. Монтаж на штатное место, центровка. Испытать давлением 200 кг\см2. Сдать в работе заказчику. </t>
  </si>
  <si>
    <t xml:space="preserve">Раздел V. Электромеханическая часть </t>
  </si>
  <si>
    <t>5.1</t>
  </si>
  <si>
    <t xml:space="preserve">Генератор ГСС 103-8 М 100 кВт. Произвести средний ремонт, с заменой изношенных деталей, предъявить РМРС в разобранном виде, собрать, сдать в работе.</t>
  </si>
  <si>
    <t>5.2</t>
  </si>
  <si>
    <t xml:space="preserve">Электродвигатель рулевой машины 4AMX90L4 2,2 кВт 1410 об/мин. Произвести средний ремонт, с заменой изношенных деталей, предъявить РМРС в разобранном виде, собрать, сдать в работе.</t>
  </si>
  <si>
    <t>5.3</t>
  </si>
  <si>
    <t xml:space="preserve">Электродвигатель брашпиля МАП 521 4/8/16 4,2/15/15 кВт. Произвести средний ремонт, с заменой изношенных деталей, предъявить РМРС в разобранном виде, собрать, предъявить в работе.</t>
  </si>
  <si>
    <t>5.4</t>
  </si>
  <si>
    <t xml:space="preserve">Электродвигатель шпиля МАП 422 4/8 8/12 кВт. Произвести средний ремонт, с заменой изношенных деталей, предъявить РМРС в разобранном виде, собрать, предъявить в работе.</t>
  </si>
  <si>
    <t>5.5</t>
  </si>
  <si>
    <t xml:space="preserve">Эл.двигатель пожарного насоса АМ-72-20М 25 кВт 380 В 2900 об/мин. Произвести средний ремонт, с заменой изношенных деталей, предъявить РМРС в разобранном виде, собрать, сдать в работе.</t>
  </si>
  <si>
    <t>5.6</t>
  </si>
  <si>
    <t xml:space="preserve">Эл.двигатель резервного насоса пресной воды охлаждения ГД; 3,2 кВт 380 В 1440 об/мин. Произвести средний ремонт, с заменой изношенных деталей, предъявить РМРС в разобранном виде, собрать, сдать в работе.</t>
  </si>
  <si>
    <t>5.7</t>
  </si>
  <si>
    <t xml:space="preserve">Эл.двигатель балластно-осушительного насоса AMD-61-2; 380 B 11 кBт 2900 об/мин,  AMD-51-2 380 B 6 кBт; 2900 об/м. Произвести средний ремонт, с заменой изношенных деталей, предъявить РМРС в разобранном виде, собрать, сдать в работе.</t>
  </si>
  <si>
    <t>5.8</t>
  </si>
  <si>
    <t xml:space="preserve">Эл. двигатель масляного насоса KMR 112-MY 380 B 4,8 кBт 1435 об/мин - 2шт.,  4A90L4 380 B 2,2 кВт 1410 об/мин - 1шт. Произвести средний ремонт, с заменой изношенных деталей, предъявить РМРС в разобранном виде, собрать, сдать в работе.</t>
  </si>
  <si>
    <t>5.9</t>
  </si>
  <si>
    <t xml:space="preserve">Эл.двигатель топливного насоса АМП 380 B 5,5 кBт 960 об/мин. Произвести средний ремонт с заменой изношенных деталей, предъявить РМРС в разобранном виде, собрать, сдать в работе.</t>
  </si>
  <si>
    <t>5.10</t>
  </si>
  <si>
    <t xml:space="preserve">Эл.двигатель топливного сепаратора Щ-1,5, МРСК-42-2 380 B 4 кВт 1410 об/мин. Произвести средний ремонт с заменой изношенных деталей, предъявить РМРС в разобранном виде, собрать, сдать в работе.</t>
  </si>
  <si>
    <t>5.11</t>
  </si>
  <si>
    <t xml:space="preserve">Эл. двигатель фекального насоса MP3K 42-40M 380B 3,8 кBт 1435 об/мин. Произвести средний ремонт, с заменой изношенных деталей, предъявить РМРС в разобранном виде, собрать, сдать в работе.</t>
  </si>
  <si>
    <t>5.12</t>
  </si>
  <si>
    <t xml:space="preserve">Эл. двигатель электрокомпрессора АМД-52-471 380 B 11кBт 1415 об/мин. Произвести средний ремонт, с заменой изношенных деталей, предъявить РМРС в разобранном виде, собрать, сдать в работе.</t>
  </si>
  <si>
    <t>5.24</t>
  </si>
  <si>
    <t xml:space="preserve">ГРЩ - 4 секции. Мойка, чистка, обтяжка контактных соединений. С заменой дефектных деталей, согласно дефектации. Предъявить РМРС, л/с, сдача в работе.</t>
  </si>
  <si>
    <t>сек.</t>
  </si>
  <si>
    <t>5.27</t>
  </si>
  <si>
    <t xml:space="preserve">Контроллер брашпиля. Произвести средний ремонт, с ремонтом корпуса, с заменой резинового уплотнения, с заменой изношенных деталей. Проверить и настроить, предъявить РМРС, л/с. Сдать в работе.</t>
  </si>
  <si>
    <t>5.28</t>
  </si>
  <si>
    <t xml:space="preserve">Контроллер шпиля КВ1837. Произвести средний ремонт, с ремонтом корпуса, с заменой резинового уплотнения, с заменой изношенных деталей. Проверить и настроить, предъявить РМРС, л/с. Сдать в работе.</t>
  </si>
  <si>
    <t xml:space="preserve">Раздел VI. Палубные устройства и механизмы </t>
  </si>
  <si>
    <t>6.1</t>
  </si>
  <si>
    <t xml:space="preserve">Брашпиль Б-5, тяговое усилие 6 т. Произвести средний ремонт. Разобрать, дефектовать, ремонт по результатам дефектовки, с заменой манжеты на приводном валу электропривода, по необходимости шлифовка вала под устанавливаемый манжет, собрать, предъявить РМРС, заказчику.</t>
  </si>
  <si>
    <t>6.2</t>
  </si>
  <si>
    <t xml:space="preserve">Шпиль Ш-3, тяговое усилие 2 т. Произвести средний ремонт. Разобрать, дефектовать, ремонт по результатам дефектовки, собрать, предъявить РМРС, заказчику.</t>
  </si>
  <si>
    <t>6.3</t>
  </si>
  <si>
    <t xml:space="preserve">Произвести средний ремонт редуктора кран-балки дежурной шлюпки. Разобрать редуктор, дефектовать, ремонт по результатам дефектовки, с заменой манжеты на приводном валу электропривода, по необходимости шлифовка вала под устанавливаемый манжет, снять заменить конечник, собрать, предъявить РМРС, заказчику.</t>
  </si>
  <si>
    <t xml:space="preserve">Раздел IХ. Швартово-ходовые испытания </t>
  </si>
  <si>
    <t>9.1</t>
  </si>
  <si>
    <t xml:space="preserve">Произвести швартовые и ходовые испытания. Предъявить РМРС, заказчику.</t>
  </si>
  <si>
    <t xml:space="preserve">компл </t>
  </si>
  <si>
    <t>Итого</t>
  </si>
  <si>
    <t xml:space="preserve">НДС 20 %</t>
  </si>
  <si>
    <t xml:space="preserve">ИСКЛЮЧЕННЫЕ РАБОТЫ</t>
  </si>
  <si>
    <t xml:space="preserve">Исключенные частично</t>
  </si>
  <si>
    <t xml:space="preserve">Ремонт  механических стопоров штоков гидроцилиндров Пр.Б\ЛБ. Шток стопора Ø=104мм, высота штока с резбьбой h=550мм, разобрать, очистить от ржавчины, восстановить резьбу; направляющие 2шт. Ø=55мм, h=600мм разобрать очистить от ржавчины при необходимости выпрямить прессом.</t>
  </si>
  <si>
    <t>13233,5</t>
  </si>
  <si>
    <t xml:space="preserve">Главный двигатель 6 NVD 26A-3  287 KW. Цилиндровые втулки. Риски, задиры, натиры, коррозия, наволакивание метала на рабочие поверхности устранить. Уплотнительные поверхности втулки и блока притереть, проверить на краску. Произвести монтаж с заменой уплотнительных колец. Предъявить Регистру.</t>
  </si>
  <si>
    <t xml:space="preserve">Главный двигатель 6 NVD 26A-3  287 KW. Поршни. Замена поршневых колец. Взвешивание поршней. Монтаж. Проверка высоты камеры сжатия. Предъявление Регистру.</t>
  </si>
  <si>
    <t xml:space="preserve">Главный двигатель 6 NVD 26A-3  287 KW. Шатуны. Монтаж. При необходимости заменить. Составить карту обмеров, внести в формуляр. Формуляр предъявить РМРС и экипажу.</t>
  </si>
  <si>
    <t xml:space="preserve">Главный двигатель 6 NVD 26A-3  287 KW №1. Блок цилиндров. Гидравлические испытания полости охлаждения в сборе со втулками.</t>
  </si>
  <si>
    <t>72784,25</t>
  </si>
  <si>
    <t xml:space="preserve">ДГРА 100/750 (6Ч 18/22 100 KW) №2.  Цилиндровые втулки. Риски, задиры, натиры, коррозия, наволакивание метала на рабочие поверхности устранить. Уплотнительные поверхности втулки и, блока притереть. проверить на краску. Произвести монтаж опрессовку с заменой уплотнительных колец.</t>
  </si>
  <si>
    <t xml:space="preserve">ДГРА 100/750 (6Ч 18/22 100 KW) №2. Блок цилиндров. Гидравлические испытания полости охлаждения в сборе со втулками.</t>
  </si>
  <si>
    <t xml:space="preserve">ДГРА 100/750 (6Ч 18/22 100 KW) №2. ТНВД.  Дефектные заменить, установить на штатное место предъявить в работе л/с. заменить дефектные детали.</t>
  </si>
  <si>
    <t xml:space="preserve">ДГРА 100/750 (6Ч 18/22 100 KW) №2. Навесной масляный насос ДГ №2. Изношенные заменить, сопрягаемые поверхности притереть, заменить уплотнения. Собрать насос, доставить на судно. Установить по месту, произвести обвязку, предъявить в работе. Предъявление РМРС.</t>
  </si>
  <si>
    <t xml:space="preserve">ДГРА 100/750 (6Ч 18/22 100 KW) №2. Навешанный блок-насосов пресной и забортной воды ДГ №2. Изношенные заменить, сопрягаемые поверхности притереть, заменить механические уплотнения, манжеты, подшипники. Собрать насос, доставить на судно. Установить по месту, произвести обвязку. Предъявление РМРС.</t>
  </si>
  <si>
    <t xml:space="preserve">ДГРА 100/750 (6Ч 18/22 100 KW) №2. Воздухораспределитель. Ремонт согласно дефектовки с заменой уплотнения.</t>
  </si>
  <si>
    <t xml:space="preserve">Воздушный компрессор 2ОК-1, 4,5 kW 1450 об/мин. Произвести средний ремонт. Ремонт согласно дефектовки, притирка или замена клапанов \пластин\ первой и второй ступени, предъявить в работе. Заменить кольца первой и второй ступени. Результаты ремонта занести в формуляр. Предъявить РМРС.  </t>
  </si>
  <si>
    <t xml:space="preserve">Воздушный компрессор 2ОК-1, 4,5 kW 1450 об/мин. Окрасить, установить втулки, притереть бурты, опрессовать. Сопрягаемые места при сборки притереть, заменить уплотнения.</t>
  </si>
  <si>
    <t xml:space="preserve">Воздушный компрессор 2ОК-1, 4,5 kW 1450 об/мин. Шатуны. Монтаж. Дефектные заменить. Составить карту обмеров внести в формуляр. </t>
  </si>
  <si>
    <t>4.14.</t>
  </si>
  <si>
    <r>
      <t xml:space="preserve">Пожарный насос НЦВ 63/80 Q-63 куб.м/час. Произвести средний ремонт. Ремонт по результатам дефектовки, Собрать, сдать в работе. Составить формуляр.</t>
    </r>
    <r>
      <rPr>
        <sz val="11"/>
        <color indexed="2"/>
        <rFont val="Times New Roman"/>
      </rPr>
      <t xml:space="preserve"> </t>
    </r>
    <r>
      <rPr>
        <sz val="11"/>
        <rFont val="Times New Roman"/>
      </rPr>
      <t xml:space="preserve">Предъявить ОТК, л/с, РМРС.</t>
    </r>
  </si>
  <si>
    <t xml:space="preserve">Балластно-осушительный насос НЦВС 40/20 Q-40 куб.м/час Р-2 кг/см2 n-2900. Произвести средний ремонт. Ремонт по результатам дефектовки, собрать, сдать в работе.  Составить формуляр. Предъявить ОТК, л/с, РМРС.</t>
  </si>
  <si>
    <t xml:space="preserve">Осушительный насос НЦВС 40/20 Q-40 куб.м/час Р-2 кг/см2 n-2900. с вакуумной приставкой. Произвести средний ремонт. Ремонт по результатам дефектовки, собрать, сдать в работе. Составить формуляр. Предъявить ОТК, л/с, РМРС.</t>
  </si>
  <si>
    <t xml:space="preserve">Фекальный насос ЭСН-14 Q-28 куб.м/час. Произвести средний ремонт. Ремонт по результатам дефектовки, собрать, сдать в работе. Составить формуляр. Предъявить ОТК, л/с.</t>
  </si>
  <si>
    <t xml:space="preserve">Резервный насос пресной воды главного двигателя, НЦВ 40/60. Произвести средний ремонт. Ремонт по результатам дефектовки, Заменить уплотнения на новое, собрать, сдать в работе. Составить формуляр. Предъявить ОТК, л/с.</t>
  </si>
  <si>
    <t xml:space="preserve">Насос гидрофора пресной воды ЦВС 10/40 Q-10 куб.м/час. Произвести средний ремонт. Ремонт по результатам дефектовки, заменить механические сальники, собрать, сдать в работе. Составить формуляр. Предъявить ОТК, л/с.</t>
  </si>
  <si>
    <t xml:space="preserve">Топливоперекачивающий  насос Ш- 40-6-1,8/3Б5 Q-18 м3 930 об/мин. Произвести средний ремонт. Ремонт по результатам дефектовки, собрать, сдать в работе. Составить формуляр. Предъявить ОТК, л/с, РМРС.</t>
  </si>
  <si>
    <t xml:space="preserve">Топливный сепаратор СЦ-1,5. Произвести средний ремонт. Ремонт по результатам дефектовки, монтаж, предъявить в работе. Предъявить ОТК, л/с, РМРС.</t>
  </si>
  <si>
    <t xml:space="preserve">Клапан пожарный Ру 10/65. Произвести средний ремонт. Притереть тарелку клапана к седлу, заменить дефектные детали, набивку, опресовать, предъявить РМРС, заказчику. Установить на место с заменой дефектного крепежа, прокладок.</t>
  </si>
  <si>
    <t xml:space="preserve">Клапана топливных танков № 3,4 с дистанционным приводом  Ду -80.  Произвести средний ремонт. Притереть тарелку клапана к седлу, заменить дефектные детали, набивку, опресовать, предъявить РМРС, заказчику. Дистанционный привод клапанов восстановить по месту установки. Установить на место с заменой дефектного крепежа, прокладок.</t>
  </si>
  <si>
    <t xml:space="preserve">Клапана гидрофоров пресной и забортной воды. Ду - 40.  Произвести средний ремонт. Притереть тарелку клапана к седлу, заменить дефектные детали, набивку, опресовать, предъявить РМРС, заказчику. Установить на место с заменой дефектного крепежа, прокладок.</t>
  </si>
  <si>
    <t xml:space="preserve">Невозвратные клапана гидрофоров пресной и забортной воды. Ду - 40.  Произвести средний ремонт. Притереть тарелку клапана к седлу, заменить дефектные детали, набивку, опресовать, предъявить РМРС, заказчику. Установить на место с заменой дефектного крепежа, прокладок.</t>
  </si>
  <si>
    <t xml:space="preserve">Замену трубопровода выхлопных газов ГД №1, №2 в машинном отделение, стальная труба Ø 300 мм., стенка Ϭ-5 мм.</t>
  </si>
  <si>
    <t xml:space="preserve">Компенсатор трубопровода выхлопных газов ГД №1, Ø-300 мм.. Ремонт согласно дефектовки. Заменить уплотнения компенсаторов. Восстановить изоляцию.</t>
  </si>
  <si>
    <t xml:space="preserve">Восстановить систему перекачки пресной воды с танка запаса пресной воды № 9 через сухой отсек ЛБ в МО. Трубопровод Ø-45 мм. с невозвратнозапорными клапанами ДУ50 - 1 шт.</t>
  </si>
  <si>
    <t xml:space="preserve">Гидроцилиндр L=1600 мм; Ø=250 мм; шток Ø=94 мм. Произвести средний ремонт. Ремонт согласно дефектовки. Заменить РТИ, кольца на поршнях. Восстановить коррозированную поверхность штока гидроцилиндров. Монтаж на штатное место, центровка. Испытать давлением 200 кг\см2. Сдать в работе заказчику. </t>
  </si>
  <si>
    <t xml:space="preserve">Исключенные полностью</t>
  </si>
  <si>
    <t xml:space="preserve">Произвести замену трубопровода выхлопных газов ВДГ №1, ВДГ№2 в фальштрубе, стальная труба Ø 133 мм., стенка Ϭ-5 мм.  </t>
  </si>
  <si>
    <t xml:space="preserve">Дополнительные работы </t>
  </si>
  <si>
    <t xml:space="preserve">Дополнительный заказ № 1 от            </t>
  </si>
  <si>
    <t xml:space="preserve">Стопорное устройство гидроцилиндров Пр.Б\ЛБ. Шток стопора Ø=104мм, высота штока с резбьбой h=550мм, направляющие  новые 2шт. Ø=55мм, h=600мм. Демонтаж при помощи газорезательного аппарата. По результату дефектации произвести капитальный ремонт стопорного устройствва с восстановлением и изготовлением элементов стопорного устройства согласно акту дефектации.  Доставить на судно. Монтаж. Предъявить ОТК, л/с.</t>
  </si>
  <si>
    <t xml:space="preserve">Главный двигатель 6 NVD 26A-3  287 KW (к пункту 4.1.1 РВ). Демонтаж, разборка, очистка, дефектовка, обмеры деталей. </t>
  </si>
  <si>
    <t xml:space="preserve"> 10</t>
  </si>
  <si>
    <t>3</t>
  </si>
  <si>
    <t xml:space="preserve">Главный двигатель 6 NVD 26A-3  287 KW. По результату дефектации и в обеспечении выполнения работ по пунку 4.1.1. РВ произвести закупку Крышек цилиндров в сборе с направляющими 572-10009 - 10 шт., 572-11002 - 20 шт..</t>
  </si>
  <si>
    <t xml:space="preserve">1 </t>
  </si>
  <si>
    <t xml:space="preserve">цена будет 22.01.2025</t>
  </si>
  <si>
    <t xml:space="preserve">Главный двигатель 6 NVD 26A-3  287 KW (к пункту 4.1.2.). Цилиндровые втулки. По результату дефектации цилиндровые втулки закупить. Произвести монтаж с заменой уплотнительных колец. Предъявить Регистру.</t>
  </si>
  <si>
    <t>5</t>
  </si>
  <si>
    <t xml:space="preserve">Главный двигатель 6 NVD 26A-3  287 KW (к пункту 4.1.3 РВ). Поршни. По результату дефектации закупить поршни. Произвести обмер поршней. Замена поршневых колец. Взвешивание поршней. Монтаж. Проверка высоты камеры сжатия. Предъявление Регистру.</t>
  </si>
  <si>
    <t xml:space="preserve">Главный двигатель 6 NVD 26A-3  287 KW(к пункту 4.1.4 РВ). Шатуны. По результату дефектации закупить шатуны. Монтаж. Обмерить мотылёвые подшипники. При необходимости заменить. Составить карту обмеров, внести в формуляр. Формуляр предъявить РМРС и экипажу.</t>
  </si>
  <si>
    <t xml:space="preserve">Произвести ремонт блоков цилиндров ГД 6 NVD 26A-3  287 KW n-1000 об/мин  № 1 (к пункту 4.1.7 РВ). По технологии согласованной РМРС. По окончании ремонта сдать двигатели на швартовых и ходовых испытаниях. </t>
  </si>
  <si>
    <t xml:space="preserve">Главный двигатель 6 NVD 26A-3  287 KW. Форсунки. Демонтаж, разобрать, очистить, притереть сопрягаемые поверхности. Замена распылителей при дефектовке, замена РТИ, собрать, опрессовать, установить на место, предъявить в работе л/с.</t>
  </si>
  <si>
    <t>9</t>
  </si>
  <si>
    <t xml:space="preserve">Реверсивно-редукторная передача SW-400 (к пункту 4.2.1.РВ). По результату дефектации и в обеспечении выполнения работ, произвести закупку солнечной шестерни - 1 шт. Установить на штатное место взамен старой.</t>
  </si>
  <si>
    <t>10</t>
  </si>
  <si>
    <t xml:space="preserve">ДГРА 100/750 (6Ч 18/22 100 KW) №2 (к пункту 4.3.1 РВ). По результату дефектации произвести: обработку (шлифовку) плоскости цилиндровых крышек на станке - 2шт..                                                                                   Закупить и заменить: клапан впускной, выпускной - 7 шт.; направляющая клапана - 8 шт.;  Прокладка уплотн-я под цил.крышку - 6 шт.; Прокладка уплотнительная крышка-колпак (резиновая) - 6 шт..</t>
  </si>
  <si>
    <t xml:space="preserve">компл. </t>
  </si>
  <si>
    <t>11</t>
  </si>
  <si>
    <t xml:space="preserve">ДГРА 100/750 (6Ч 18/22 100 KW) №2 ( к пункту 4.3.2 РВ). Цилиндровые втулки. По результату дефектации закупить цилиндровые втулки. Уплотнительные поверхности втулки и блока притереть. проверить на краску. Произвести монтаж опрессовку с заменой уплотнительных колец. </t>
  </si>
  <si>
    <t xml:space="preserve"> 2</t>
  </si>
  <si>
    <t>12</t>
  </si>
  <si>
    <t xml:space="preserve">ДГРА 100/750 (6Ч 18/22 100 KW) №2 ( к пункту 4.3.4 РВ).  По результату дефектации закупить и заменить: втулки ВГШ, цилиндры №1,3,4,5,6. Произвести расточку ВГШ на станке - 5 шт.; Комплект прокладок –латунь, в разъём шатуна - 12 компл.; Шплинт шатунной гайки Ф4*Н50 мм - 12 шт..
</t>
  </si>
  <si>
    <t>13</t>
  </si>
  <si>
    <t xml:space="preserve">ДГРА 100/750 (6Ч 18/22 100 KW) №2 ( к пункту 4.3.8 РВ).  Блок цилиндров.  По результату дефектации произвести: демонтаж, монтаж блока цилиндров с сопутствующими работами (демонтаж, монтаж: шпилек крепления цил.крышек-24шт, анкерных связей-14шт, демонтаж, монтаж распред.вала, демонтаж, монтаж носового торца и маховика). Выгрузка блока из МО, доставка в цех. Выставление на станок. Проточка  на расточном станке верхней плоскости блока цилиндров как "чисто". Произвести расцентровку генератора, отодвинуть на талях в сторону, после установки блока произвести центровку генератора. Монтаж блока в обратном порядке.</t>
  </si>
  <si>
    <t>14</t>
  </si>
  <si>
    <t xml:space="preserve">ДГРА 100/750 (6Ч 18/22 100 KW) №2 ( к пункту 4.3.10 РВ). Шестерни ГРМ. По результату дефектации изготовить Бронзовые втулки (ОЦС 555) блок-шестерни и шестерни привода ТНВД Ф60/30мм Н40 мм - 4 шт.. Закупить и заменить: Болт крепления цапф шестерён газораспределения - 12 шт.; Стопорные пластины болтов крепления цапф шестерен ГРМ - 10 шт.; Стопор упорных шайб - 4 шт.; </t>
  </si>
  <si>
    <t>15</t>
  </si>
  <si>
    <t xml:space="preserve">ДГРА 100/750 (6Ч 18/22 100 KW) №2 ( к пункту 4.3.12 РВ) ТНВД.  По результату дефектации закупить и заменить ТНВД и топливоподкачивающий насос в сборе.</t>
  </si>
  <si>
    <t>16</t>
  </si>
  <si>
    <t xml:space="preserve">ДГРА 100/750 (6Ч 18/22 100 KW) №2 ( к пункту 4.3.14 РВ) По результату дефектации произвести ремонт в объеме капитального. Собрать насос, доставить на судно. Установить по месту, произвести обвязку, предъявить в работе. Предъявление РМРС.</t>
  </si>
  <si>
    <t>17</t>
  </si>
  <si>
    <t xml:space="preserve">ДГРА 100/750 (6Ч 18/22 100 KW) №2 ( к пункту 4.3.15 РВ). Навешанный блок-насосов пресной и забортной воды ДГ №2. По результату дефектации закупить насос. Доставить на судно. Установить по месту, произвести обвязку. Предъявление РМРС.</t>
  </si>
  <si>
    <t>18</t>
  </si>
  <si>
    <t xml:space="preserve">ДГРА 100/750 (6Ч 18/22 100 KW) №2 ( к пункту 4.3.16 РВ). Воздухораспределитель. По результату дефектации закупить и заменить воздухораспределитель. Доставить на судно. Монтаж </t>
  </si>
  <si>
    <t>19</t>
  </si>
  <si>
    <t xml:space="preserve">ДГРА 100/750 (6Ч 18/22 100 KW) №1 ( к пункту 4.3.20 РВ). Шатун в сборе с головной втулкой и болтами. По результату дефектации закупить и заменить: Комплект прокладок –латунь, в разъём шатуна - 2 компл.; Шплинт шатунной гайки Ф4*Н50мм - 4 шт.; Подшипник шатунный 2-ой ремонтный размер -  2 шт..</t>
  </si>
  <si>
    <t>20</t>
  </si>
  <si>
    <t xml:space="preserve">ДГРА 100/750 (6Ч 18/22 100 KW) №1. Демонтаж/монтаж цилнидровых крышек сзаменой РТИ. </t>
  </si>
  <si>
    <t xml:space="preserve">4 </t>
  </si>
  <si>
    <t>21</t>
  </si>
  <si>
    <t xml:space="preserve">ДГРА 100/750 (6Ч 18/22 100 KW) №1. Навешанный блок-насосов пресной и забортной воды ДГ №1. Отсоединить трубопроводы, демонтировать насосы. Доставить в цех, произвести дефектовку деталей, изношенные заменить, сопрягаемые поверхности притереть, заменить механические уплотнения, манжеты, подшипники. Собрать насос, доставить на судно. Установить по месту, произвести обвязку. Предъявление РМРС.</t>
  </si>
  <si>
    <t xml:space="preserve"> 2 </t>
  </si>
  <si>
    <t>22</t>
  </si>
  <si>
    <t xml:space="preserve">ДГРА 100/750 (6Ч 18/22 100 KW) №1. Регулировка параметров двигателя.</t>
  </si>
  <si>
    <t>23</t>
  </si>
  <si>
    <t xml:space="preserve">Воздушный компрессор 2ОК-1, 4,5 kW 1450 об/мин (к пункту 4.5 РВ). По результату дефектовки произвести ремонт в объеме капитального. Результаты ремонта занести в формуляр. Предъявить РМРС, ОТК, л/с.</t>
  </si>
  <si>
    <t>24</t>
  </si>
  <si>
    <t xml:space="preserve">Воздушный компрессор 2ОК-1, 4,5 kW 1450 об/мин (к пункту 4.5 РВ). В обеспечении выполнения работ в объеме капитального ремонта закупить и заменить: цилиндр компрессора 2ОК1.35-1 -4 шт., Поршень с кольцами в сборе 2ОК1.22 - 2 шт., кольцо компресионное 1-ой ступени 2ОК1.22.06-1 - 6 шт., кольцо компресионное 2-ой ступени 2ОК1.22.05 - 12 шт., кольцо маслоуловительное 1-ой ступени 2ОК1.22.07-1 - 4 шт., Кольцо наборное поршня компл. (6шт) - 2 компл..</t>
  </si>
  <si>
    <t>25</t>
  </si>
  <si>
    <t xml:space="preserve">Пожарный насос НЦВ 63/80 Q-63 куб.м/час (к пункту 4.14 РВ). По результату дефектации произвести капитальный ремонт. Составить формуляр. Предъявить ОТК, л/с, РМРС.</t>
  </si>
  <si>
    <t>26</t>
  </si>
  <si>
    <t xml:space="preserve">Пожарный насос НЦВ 63/80 Q-63 куб.м/час (к пункту 4.14 РВ) По результату дефектации изготовить новые фундменты пожарных насосов.</t>
  </si>
  <si>
    <t>27</t>
  </si>
  <si>
    <t xml:space="preserve">Балластно-осушительный насос НЦВС 40/20 Q-40 куб.м/час Р-2 кг/см2 n-2900 (к пункту 4.15 РВ). По результату дефектации произвести капитальный ремонт. Составить формуляр. Предъявить ОТК, л/с, РМРС.</t>
  </si>
  <si>
    <t>28</t>
  </si>
  <si>
    <t xml:space="preserve">Осушительный насос НЦВС 40/20 Q-40 куб.м/час Р-2 кг/см2 n-2900. с вакуумной приставкой (к пункту 4.16 РВ). По результату дефектации произвести капитальный ремонт. Составить формуляр. Предъявить ОТК, л/с, РМРС.</t>
  </si>
  <si>
    <t>29</t>
  </si>
  <si>
    <t xml:space="preserve">Фекальный насос ЭСН-14 Q-28 куб.м/час (к пункту 4.17 РВ). По результату дефектации произвести капитальный ремонт. Составить формуляр. Предъявить ОТК, л/с, РМРС.</t>
  </si>
  <si>
    <t>30</t>
  </si>
  <si>
    <t xml:space="preserve">Резервный насос пресной воды главного двигателя, НЦВ 40/60 (к пункту 4.19 РВ). По результату дефектации произвести капитальный ремонт. Составить формуляр. Предъявить ОТК, л/с, РМРС.</t>
  </si>
  <si>
    <t>31</t>
  </si>
  <si>
    <t xml:space="preserve">Насос гидрофора пресной воды ЦВС 10/40 Q-10 куб.м/час (к пункту 4.21 РВ). По результату дефектации произвести капитальный ремонт. Составить формуляр. Предъявить ОТК, л/с, РМРС.</t>
  </si>
  <si>
    <t>32</t>
  </si>
  <si>
    <t xml:space="preserve">Топливоперекачивающий  насос Ш- 40-6-1,8/3Б5 Q-18 м3 930 об/мин (к пункту 4.22 РВ). По результату дефектации закупить насос. Доставить на судно. Монтаж с заменой крепежа и прокладок. Сдать в работе. Предъявить ОТК, л/с, РМРС.</t>
  </si>
  <si>
    <t>33</t>
  </si>
  <si>
    <t xml:space="preserve">Топливный сепаратор СЦ-1,5 (к пункту 4.23 РВ). По результату дефектации произвести капитальный ремонт. Закупить и заменить насос. Предъявить ОТК, л/с, РМРС.</t>
  </si>
  <si>
    <t>34</t>
  </si>
  <si>
    <t xml:space="preserve">Клапан пожарный Ру10/65 (к пункту 4.28 РВ). По результату дефектации закупить. Опрессовать, предъявить РМРС, заказчику. Доставить на судно. При необходимости заменить флнанцы на системе. Установить на место с заменой дефектного крепежа, прокладок.</t>
  </si>
  <si>
    <t>35</t>
  </si>
  <si>
    <t xml:space="preserve">Клапана топливных танков № 3,4 с дистанционным приводом  Ду -80 (к пункту 4.31 РВ). По результату дефектации закупить. Опрессовать, предъявить РМРС, заказчику. Доставить на судно. При необходимости заменить флнанцы на системе. Установить на место с заменой дефектного крепежа, прокладок.</t>
  </si>
  <si>
    <t>36</t>
  </si>
  <si>
    <t xml:space="preserve">Клапана гидрофоров пресной и забортной воды. Ду - 40 (к пункту 4.35 РВ).  По результату дефектации закупить. Опрессовать, предъявить РМРС, заказчику. Доставить на судно. При необходимости заменить флнанцы на системе. Установить на место с заменой дефектного крепежа, прокладок.</t>
  </si>
  <si>
    <t>37</t>
  </si>
  <si>
    <t xml:space="preserve">Невозвратные клапана гидрофоров пресной и забортной воды. Ду - 40 (к пункту 4.33 РВ).  По результату дефектации закупить. Опрессовать, предъявить РМРС, заказчику. Доставить на судно. При необходимости заменить флнанцы на системе. Установить на место с заменой дефектного крепежа, прокладок.</t>
  </si>
  <si>
    <t>38</t>
  </si>
  <si>
    <t xml:space="preserve">Произвести замену, согласно дефектовки, прокладок и крепежа в районе фланцевых соединений выхлопных газов ВДГ №1, ВДГ№2 в МО, стальная труба Ø 133 мм., стенка Ϭ-5 мм. Замена с восстановлением изоляции.</t>
  </si>
  <si>
    <t>39</t>
  </si>
  <si>
    <t xml:space="preserve">Компенсаторы трубопровода выхлопных газов ГД №1. Ø-300 мм. (к пункту 4.52 РВ). Закупить. Доставить на судно. Монтаж с заменой крепежа и уплотнения. При необходимости изготовить проставку. Восстановить изоляцию.</t>
  </si>
  <si>
    <t>40</t>
  </si>
  <si>
    <t xml:space="preserve">Гидроцилиндр L=1600 мм; Ø=250 мм; шток Ø=94 мм (к пункту 4.57 РВ).  По результату дефектации произвести капитальный ремонт и замену узлов согласно АД. Монтаж на штатное место, центровка. Испытать давлением 200 кг\см2. Сдать в работе заказчику.                                              В обеспечении ремонта произвести закупку и замену: Шток Ø 94  L2650мм. - 4 шт., Гильзы Ø 260|290 L 1830 мм. - 4 шт., Проушины штока  - 4 шт., Проушины гильзы - 4 шт.,  Болты крышки М 30 - 48 щт., Болты крышки М 20 - 48 шт.,  Болты крышки М8 - 24 шт., Уплотнения - 4 компл., Втулки бронзовые 94х117х130мм - 4 шт., Бронзовые направляющие 241,5х259,5х24,3мм - 8 шт., Капролоновое кольцо Ø. 41х6мм L 785мм. - 4 шт., </t>
  </si>
  <si>
    <t xml:space="preserve">Итого по акту:</t>
  </si>
  <si>
    <t xml:space="preserve">Всего стоимость основных работ по Договору:</t>
  </si>
  <si>
    <t xml:space="preserve">Всего исключенные частично:</t>
  </si>
  <si>
    <t xml:space="preserve">Всего исключенные полностью:</t>
  </si>
  <si>
    <t xml:space="preserve">Всего стоимость дополнительных работ по ДЗ №1:</t>
  </si>
  <si>
    <t xml:space="preserve">ВСЕГО общая стоимость работ:</t>
  </si>
  <si>
    <t xml:space="preserve">Итого, выполнено работ на сумму:        (                                            ) рублей                    копеек, в том числе НДС 20 %, что составляет                  (                                             ) рублей         копеек. Работы выполнены в полном объеме, претензий по срокам проведения работ и качеству Заказчик не имеет.</t>
  </si>
  <si>
    <t xml:space="preserve">От Заказчика </t>
  </si>
  <si>
    <t xml:space="preserve">От Подрядчика</t>
  </si>
  <si>
    <t xml:space="preserve">Генеральный директор </t>
  </si>
  <si>
    <t>Директор</t>
  </si>
  <si>
    <t xml:space="preserve">ООО "НСРЗ"</t>
  </si>
  <si>
    <t xml:space="preserve">ООО "Новое время"</t>
  </si>
  <si>
    <t xml:space="preserve">                                 О.В. Латухин</t>
  </si>
  <si>
    <t xml:space="preserve">                             С.А. Ульянов</t>
  </si>
  <si>
    <t xml:space="preserve">Приложение №1</t>
  </si>
  <si>
    <t xml:space="preserve">к Договору №ДБФ ВУ 63-24/30-2024-ПД от "01" октября 2024 г.</t>
  </si>
  <si>
    <t xml:space="preserve">       Смета ведомость г/с "Славянская" 
к Дополнительному соглашению № 1    </t>
  </si>
  <si>
    <t xml:space="preserve">№ п/п</t>
  </si>
  <si>
    <t xml:space="preserve">Наименование работ и технические характеристики</t>
  </si>
  <si>
    <t xml:space="preserve">Ед. изм.</t>
  </si>
  <si>
    <t xml:space="preserve">Объем работ (Кол-во ед. изм.)</t>
  </si>
  <si>
    <t>Поставщик</t>
  </si>
  <si>
    <t xml:space="preserve">Номер чертежа, марка материала, каталожный номер СЗЧ</t>
  </si>
  <si>
    <t xml:space="preserve">Цена за единицу,руб (НДС не облагается).</t>
  </si>
  <si>
    <t xml:space="preserve">Общая стоимость, руб (НДС не облагается)</t>
  </si>
  <si>
    <t xml:space="preserve">Коммен-
тарии</t>
  </si>
  <si>
    <t>Подрядчик</t>
  </si>
  <si>
    <t>5.13</t>
  </si>
  <si>
    <t xml:space="preserve">Система возбуждения генератора №1, №2. Блок возбуждения и блок управления. Проверка и настройка. Предъявить РМРС, л/с.</t>
  </si>
  <si>
    <t>5.14</t>
  </si>
  <si>
    <t xml:space="preserve">Корректор напряжения КН-3. Проверка и настройка защиты от перегруза. Предъявить РМРС, л/с.</t>
  </si>
  <si>
    <t>5.15</t>
  </si>
  <si>
    <t xml:space="preserve">Реле ИМ-145 защиты генератора от перегрузки. Текущий ремонт. Проверка и настройка защиты от перегруза. Предъявить РМРС, л/с.</t>
  </si>
  <si>
    <t>5.16</t>
  </si>
  <si>
    <t xml:space="preserve">Реле ИМ-149 защиты генератора от обратной мощности. Текущий ремонт. Проверка и настройка защиты от перегруза. Предъявить РМРС, л/с.</t>
  </si>
  <si>
    <t>5.17</t>
  </si>
  <si>
    <t xml:space="preserve">Проверка и настройка тепловой защиты ответственных потребителей. Предъявить РМРС, л/с.</t>
  </si>
  <si>
    <t>5.18</t>
  </si>
  <si>
    <t xml:space="preserve">АПС ГД. Произвести средний ремонт щитов и настройку датчиков (5 шт.). Предъявить РМРС, л/с.</t>
  </si>
  <si>
    <t>5.19</t>
  </si>
  <si>
    <t xml:space="preserve">АПС ДГ. Произвести средний ремонт щитов и настройку датчиков (5 шт.). Предъявить РМРС, л/с.</t>
  </si>
  <si>
    <t>5.20</t>
  </si>
  <si>
    <t xml:space="preserve">ТДК ГД и ДГ. Произвести средний ремонт и проверку датчиков (7 шт.). Предъявить РМРС, л/с.</t>
  </si>
  <si>
    <t>5.21</t>
  </si>
  <si>
    <t xml:space="preserve">Пожарная сигнализация. Произвести ремонт и настройку. Проверить пожарные извещатели (8 шт.).  Предъявить РМРС, л/с.</t>
  </si>
  <si>
    <t>5.22</t>
  </si>
  <si>
    <t xml:space="preserve">Система управления  рулевой машины "Печера". Произвести ремонт и настройку. Согласование датчиков. Предъявить РМРС, л/с.</t>
  </si>
  <si>
    <t>5.23</t>
  </si>
  <si>
    <t xml:space="preserve">Зарядное устройство RAS-N 100А. Произвести средний ремонт и настройку.</t>
  </si>
  <si>
    <t>5.25</t>
  </si>
  <si>
    <t xml:space="preserve">Генераторный автомат АВМ4НМ №1, №2. Средний ремонт. Проверка и настройка защиты от перегруза, отключение по минимальному напряжению. Предъявить РМРС, л/с.</t>
  </si>
  <si>
    <t>5.26</t>
  </si>
  <si>
    <t xml:space="preserve">Произвести проверку контрольно измерительных приборов на ГРЩ:                     Амперметры 5 шт., Киловатметры 2 шт., Вольтметры 4 шт., Синхроноскоп 1 шт.</t>
  </si>
  <si>
    <t>5.29</t>
  </si>
  <si>
    <t xml:space="preserve">Испытать на герметичность Взрывобезопасные светильники ВЗГ-100: малярная - 1, аккумуляторная - 3, аккумуляторная ГМССБ - 1. Предъявить РМРС, л/с.</t>
  </si>
  <si>
    <t>5.30</t>
  </si>
  <si>
    <t xml:space="preserve">Испытать на герметичность кабельные коробки  водонепроницаемых переборок. Предъявить РМРС, л/с.</t>
  </si>
  <si>
    <t>5.31</t>
  </si>
  <si>
    <t xml:space="preserve">Произвести ремонт и настройку щитов авральной сигнализации</t>
  </si>
  <si>
    <t>5.32</t>
  </si>
  <si>
    <t xml:space="preserve">Щита контроля и сигнализации  МО.  Чистка, мойка, обтяжка контактных соединений и настройка. Предъявить РМРС, л/с.</t>
  </si>
  <si>
    <t>5.33</t>
  </si>
  <si>
    <t xml:space="preserve">Пульт контроля и сигнализации  МО в рулевой рубке.  Чистка, мойка, обтяжка контактных соединений и настройка. Предъявить РМРС, л/с.</t>
  </si>
  <si>
    <t>5.34</t>
  </si>
  <si>
    <t xml:space="preserve">Система управления кран-балки дежурной шлюпки. Произвести средний ремонт, с ремонтом корпуса пускателя и настройкой концевых выключателей. Предъявить РМРС, л/с.</t>
  </si>
  <si>
    <t xml:space="preserve">Воздушный компрессор 2ОК-1, 4,5 kW 1450 об/мин. Произвести средний ремонт. Демонтаж, доставка в цех. Разобрать, дефектовать, ремонт согласно дефектовки, притирка или замена клапанов \пластин\ первой и второй ступени, предъявить в работе. Обмерить втулки, поршни, заменить кольца первой и второй ступени. Результаты ремонта занести в формуляр. Предъявить РМРС.  </t>
  </si>
  <si>
    <t xml:space="preserve">Воздушный компрессор 2ОК-1, 4,5 kW 1450 об/мин. Почистить зарубашечное пространство цилиндров, окрасить, установить втулки, притереть бурты, опрессовать. Головки цилиндров, внутреннее пространство очистить, опрессовать. Влагоотделитель очистить, опрессовать. Сопрягаемые места при сборки притереть, заменить уплотнения.</t>
  </si>
  <si>
    <t xml:space="preserve">Воздушный компрессор 2ОК-1, 4,5 kW 1450 об/мин. Шатуны. Демонтаж, очистка, магнитная дефектоскопия разъёмов, обмеры. Монтаж. Обмерить рамовые, шатунные подшипники. Дефектные заменить. Составить карту обмеров внести в формуляр. </t>
  </si>
  <si>
    <t xml:space="preserve">Было 2</t>
  </si>
  <si>
    <t xml:space="preserve">Было 8</t>
  </si>
  <si>
    <t xml:space="preserve">к пункту 3.28.1 РВ. Замена обшивки дверей из жести оцинкованной д. = 1 мм с изоляцией д. = 50 мм Sодн = 1,2 м2. Закрепить саморезами с прессшайбой 4,2х19 мм.. Зачистить комингс дверей, устранить неровности путем правки Sодн = 0,5 м2. Произвести наплавку Vодн=0,28 дм3. Обеспечить прилегаение дверей к комингсу.</t>
  </si>
  <si>
    <t xml:space="preserve">к пункту 3.30.1 РВ. Заменить крышку ВГН на коробе 500х350 мм, зачистка пазов под резиновое уплотнение S = 0,37 м2, замена резинового уплотнения 20х20 мм, L=2 п.м., Заменить барашки 4 шт. </t>
  </si>
  <si>
    <t xml:space="preserve">Клапан пожарный Ру10/65 угловой (к пункту 4.26 РВ). По результатам дефектации произвести изготовление и замену тарелок клапанов.</t>
  </si>
  <si>
    <t xml:space="preserve">Предохранительный клапан пожарной системы Ду100 угловой (к пункту 4.27 РВ). По результатам дефектации произвести изготовление и замену пружины</t>
  </si>
  <si>
    <t xml:space="preserve">Невозвратные клапана гидрофоров пресной и забортной воды Ду - 40 (к пункту 4.36 РВ). По результатам дефектации произвести изготовление и замену тарелки клапана.</t>
  </si>
  <si>
    <t xml:space="preserve">Стопорное устройство гидроцилиндров Пр.Б\ЛБ. Шток стопора Ø=104мм, высота штока с резбьбой h=550мм, направляющие  новые 2шт. Ø=55мм, h=600мм. Демонтаж при помощи газорезательного аппарата. По результату дефектации произвести  ремонт стопорного устройствва с восстановлением и изготовлением элементов стопорного устройства согласно акту дефектации. Доставить на судно. Монтаж. Предъявить ОТК, л/с.</t>
  </si>
  <si>
    <t xml:space="preserve">Реверсивно-редукторная передача SW-400 (к пункту 4.2.1.РВ). По результату дефектации изготовить новую тормозную ленту, установить на штатное место.</t>
  </si>
  <si>
    <t xml:space="preserve">ДГРА 100/750 (6Ч 18/22 100 KW) №2 (к пункту 4.3.1 РВ). По результату дефектации произвести: обработку (шлифовку) плоскости цилиндровых крышек на станке - 2шт..  </t>
  </si>
  <si>
    <t xml:space="preserve">ДГРА 100/750 (6Ч 18/22 100 KW) №2 ( к пункту 4.3.10 РВ). Шестерни ГРМ. По результату дефектации изготовить Бронзовые втулки (ОЦС 555) блок-шестерни и шестерни привода ТНВД Ф60/30мм Н40 мм - 4 шт.. </t>
  </si>
  <si>
    <t xml:space="preserve">ДГРА 100/750 (6Ч 18/22 100 KW) №2 ( к пункту 4.3.14 РВ) Навесной масляный насос. По результату дефектации произвести ремонт в объеме капитального. Собрать насос, доставить на судно. Установить по месту, произвести обвязку, предъявить в работе. Предъявление РМРС.</t>
  </si>
  <si>
    <t xml:space="preserve">ДГРА 100/750 (6Ч 18/22 100 KW) №2 ( к пункту 4.3.16 РВ). Воздухораспределитель. По результату дефектации новый воздухораспределитель доставить на судно. Монтаж </t>
  </si>
  <si>
    <t xml:space="preserve">ДГРА 100/750 (6Ч 18/22 100 KW) №1. Демонтаж/монтаж цилнидровых крышек с заменой РТИ. </t>
  </si>
  <si>
    <t xml:space="preserve">Топливоперекачивающий  насос Ш- 40-6-1,8/3Б5 Q-18 м3 930 об/мин (к пункту 4.22 РВ). По результату дефектации новый насос доставить на судно. Монтаж с заменой крепежа и прокладок. Сдать в работе. Предъявить ОТК, л/с, РМРС.</t>
  </si>
  <si>
    <t xml:space="preserve">Клапан пожарный Ру10/65 (к пункту 4.28 РВ). По результату дефектации  новый клапан опрессовать, предъявить РМРС, заказчику. Доставить на судно. При необходимости заменить флнанцы на системе. Установить на место с заменой дефектного крепежа, прокладок.</t>
  </si>
  <si>
    <t xml:space="preserve">Клапана топливных танков № 3,4 с дистанционным приводом  Ду -80 (к пункту 4.31 РВ). По результату дефектации  новый клапан опрессовать, предъявить РМРС, заказчику. Доставить на судно. При необходимости заменить флнанцы на системе. Установить на место с заменой дефектного крепежа, прокладок.</t>
  </si>
  <si>
    <t xml:space="preserve">Клапана гидрофоров пресной и забортной воды. Ду - 40 (к пункту 4.35 РВ).  По результату дефектации новый клапан опрессовать, предъявить РМРС, заказчику. Доставить на судно. При необходимости заменить флнанцы на системе. Установить на место с заменой дефектного крепежа, прокладок.</t>
  </si>
  <si>
    <t xml:space="preserve">Невозвратные клапана гидрофоров пресной и забортной воды. Ду - 40 (к пункту 4.36 РВ).  По результату дефектации новые клапана опрессовать, предъявить РМРС, заказчику. Доставить на судно. При необходимости заменить фланцы на системе. Установить на место с заменой дефектного крепежа, прокладок.</t>
  </si>
  <si>
    <t xml:space="preserve">Компенсаторы трубопровода выхлопных газов ГД №1. Ø-300 мм. (к пункту 4.52 РВ). Новый компенсатор доставить на судно. Монтаж с заменой крепежа и уплотнения. При необходимости изготовить проставку. Восстановить изоляцию.</t>
  </si>
  <si>
    <t xml:space="preserve">Гидроцилиндр L=1600 мм; Ø=250 мм; шток Ø=94 мм (к пункту 4.57 РВ). По результату дефектации произвести ремонт и замену узлов согласно АД. Монтаж на штатное место, центровка. Испытать давлением 200 кг\см2. Сдать в работе заказчику.       </t>
  </si>
  <si>
    <t xml:space="preserve"> Эл. двигатель насоса гидрофора забортной воды М41-2 0М5 3,1кBт. ДМС. Средний ремонт.</t>
  </si>
  <si>
    <t xml:space="preserve"> Эл. двигатель насоса гидрофора пресной воды М41-2 0М5 3,1кBт.. ДМС. Средний ремонт.</t>
  </si>
  <si>
    <t xml:space="preserve">Эл. двигатель  насоса охлаждения ГД - KMR80K 1,4 кBт. ДМС. Средний ремонт.</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</si>
</sst>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2">
    <numFmt numFmtId="164" formatCode="#,##0.00\ &quot;₽&quot;;[Red]\-#,##0.00\ &quot;₽&quot;"/>
    <numFmt numFmtId="165" formatCode="0_ ;[Red]\-0\ "/>
  </numFmts>
  <fonts count="18">
    <font>
      <sz val="10.000000"/>
      <name val="Arial"/>
    </font>
    <font>
      <sz val="10.000000"/>
      <name val="Arial Cyr"/>
    </font>
    <font>
      <b/>
      <sz val="12.000000"/>
      <color theme="1"/>
      <name val="Times New Roman"/>
    </font>
    <font>
      <sz val="12.000000"/>
      <color theme="1"/>
      <name val="Times New Roman"/>
    </font>
    <font>
      <b/>
      <sz val="11.000000"/>
      <color theme="1"/>
      <name val="Times New Roman"/>
    </font>
    <font>
      <b/>
      <sz val="11.000000"/>
      <name val="Times New Roman"/>
    </font>
    <font>
      <sz val="11.000000"/>
      <name val="Times New Roman"/>
    </font>
    <font>
      <sz val="11.000000"/>
      <color theme="1"/>
      <name val="Times New Roman"/>
    </font>
    <font>
      <b/>
      <sz val="11.000000"/>
      <color indexed="64"/>
      <name val="Times New Roman"/>
    </font>
    <font>
      <sz val="11.000000"/>
      <color indexed="64"/>
      <name val="Times New Roman"/>
    </font>
    <font>
      <sz val="10.000000"/>
      <name val="Times New Roman"/>
    </font>
    <font>
      <sz val="10.000000"/>
      <color theme="1"/>
      <name val="Times New Roman"/>
    </font>
    <font>
      <sz val="11.000000"/>
      <color indexed="2"/>
      <name val="Times New Roman"/>
    </font>
    <font>
      <u/>
      <sz val="11.000000"/>
      <name val="Times New Roman"/>
    </font>
    <font>
      <sz val="11.000000"/>
      <name val="Arial"/>
    </font>
    <font>
      <b/>
      <sz val="10.000000"/>
      <name val="Times New Roman"/>
    </font>
    <font>
      <b/>
      <sz val="10.000000"/>
      <color theme="1"/>
      <name val="Times New Roman"/>
    </font>
    <font>
      <b/>
      <sz val="14.000000"/>
      <name val="Times New Roman"/>
    </font>
  </fonts>
  <fills count="6">
    <fill>
      <patternFill patternType="none"/>
    </fill>
    <fill>
      <patternFill patternType="gray125"/>
    </fill>
    <fill>
      <patternFill patternType="solid">
        <fgColor theme="0" tint="-0.14999847407452621"/>
      </patternFill>
    </fill>
    <fill>
      <patternFill patternType="solid">
        <fgColor theme="0" tint="-0.049989318521683403"/>
      </patternFill>
    </fill>
    <fill>
      <patternFill patternType="solid">
        <fgColor theme="0"/>
      </patternFill>
    </fill>
    <fill>
      <patternFill patternType="solid">
        <fgColor indexed="5"/>
      </patternFill>
    </fill>
  </fills>
  <borders count="16">
    <border>
      <left style="none"/>
      <right style="none"/>
      <top style="none"/>
      <bottom style="none"/>
      <diagonal style="none"/>
    </border>
    <border>
      <left style="thin">
        <color auto="1"/>
      </left>
      <right style="thin">
        <color auto="1"/>
      </right>
      <top style="thin">
        <color auto="1"/>
      </top>
      <bottom style="thin">
        <color auto="1"/>
      </bottom>
      <diagonal style="none"/>
    </border>
    <border>
      <left style="medium">
        <color auto="1"/>
      </left>
      <right style="thin">
        <color auto="1"/>
      </right>
      <top style="thin">
        <color auto="1"/>
      </top>
      <bottom style="thin">
        <color auto="1"/>
      </bottom>
      <diagonal style="none"/>
    </border>
    <border>
      <left style="thin">
        <color auto="1"/>
      </left>
      <right style="thin">
        <color auto="1"/>
      </right>
      <top style="thin">
        <color auto="1"/>
      </top>
      <bottom style="none"/>
      <diagonal style="none"/>
    </border>
    <border>
      <left style="thin">
        <color auto="1"/>
      </left>
      <right style="thin">
        <color auto="1"/>
      </right>
      <top style="none"/>
      <bottom style="none"/>
      <diagonal style="none"/>
    </border>
    <border>
      <left style="thin">
        <color auto="1"/>
      </left>
      <right style="thin">
        <color auto="1"/>
      </right>
      <top style="none"/>
      <bottom style="thin">
        <color auto="1"/>
      </bottom>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medium">
        <color auto="1"/>
      </left>
      <right style="thin">
        <color auto="1"/>
      </right>
      <top style="medium">
        <color auto="1"/>
      </top>
      <bottom style="medium">
        <color auto="1"/>
      </bottom>
      <diagonal style="none"/>
    </border>
    <border>
      <left style="thin">
        <color auto="1"/>
      </left>
      <right style="thin">
        <color auto="1"/>
      </right>
      <top style="medium">
        <color auto="1"/>
      </top>
      <bottom style="medium">
        <color auto="1"/>
      </bottom>
      <diagonal style="none"/>
    </border>
    <border>
      <left style="thin">
        <color auto="1"/>
      </left>
      <right style="medium">
        <color auto="1"/>
      </right>
      <top style="medium">
        <color auto="1"/>
      </top>
      <bottom style="medium">
        <color auto="1"/>
      </bottom>
      <diagonal style="none"/>
    </border>
    <border>
      <left style="medium">
        <color auto="1"/>
      </left>
      <right style="thin">
        <color auto="1"/>
      </right>
      <top style="none"/>
      <bottom style="thin">
        <color auto="1"/>
      </bottom>
      <diagonal style="none"/>
    </border>
    <border>
      <left style="thin">
        <color auto="1"/>
      </left>
      <right style="none"/>
      <top style="none"/>
      <bottom style="thin">
        <color auto="1"/>
      </bottom>
      <diagonal style="none"/>
    </border>
    <border>
      <left style="thin">
        <color auto="1"/>
      </left>
      <right style="none"/>
      <top style="thin">
        <color auto="1"/>
      </top>
      <bottom style="none"/>
      <diagonal style="none"/>
    </border>
    <border>
      <left style="thin">
        <color auto="1"/>
      </left>
      <right style="none"/>
      <top style="none"/>
      <bottom style="none"/>
      <diagonal style="none"/>
    </border>
  </borders>
  <cellStyleXfs count="4">
    <xf fontId="0" fillId="0" borderId="0" numFmtId="0" applyNumberFormat="1" applyFont="1" applyFill="1" applyBorder="1"/>
    <xf fontId="1" fillId="0" borderId="0" numFmtId="0" applyNumberFormat="1" applyFont="1" applyFill="1" applyBorder="1"/>
    <xf fontId="0" fillId="0" borderId="0" numFmtId="0" applyNumberFormat="1" applyFont="1" applyFill="1" applyBorder="1"/>
    <xf fontId="0" fillId="0" borderId="0" numFmtId="0" applyNumberFormat="1" applyFont="1" applyFill="1" applyBorder="1"/>
  </cellStyleXfs>
  <cellXfs count="267">
    <xf fontId="0" fillId="0" borderId="0" numFmtId="0" xfId="0"/>
    <xf fontId="0" fillId="0" borderId="0" numFmtId="0" xfId="0"/>
    <xf fontId="0" fillId="0" borderId="0" numFmtId="49" xfId="0" applyNumberFormat="1" applyAlignment="1">
      <alignment horizontal="center" vertical="center"/>
    </xf>
    <xf fontId="0" fillId="0" borderId="0" numFmtId="49" xfId="0" applyNumberFormat="1" applyAlignment="1">
      <alignment vertical="center"/>
    </xf>
    <xf fontId="0" fillId="0" borderId="0" numFmtId="2" xfId="0" applyNumberFormat="1" applyAlignment="1">
      <alignment horizontal="center" vertical="center"/>
    </xf>
    <xf fontId="0" fillId="0" borderId="0" numFmtId="0" xfId="0" applyAlignment="1">
      <alignment vertical="top"/>
    </xf>
    <xf fontId="0" fillId="0" borderId="0" numFmtId="2" xfId="0" applyNumberFormat="1" applyAlignment="1">
      <alignment vertical="top" wrapText="1"/>
    </xf>
    <xf fontId="2" fillId="0" borderId="0" numFmtId="0" xfId="0" applyFont="1" applyAlignment="1">
      <alignment horizontal="center" vertical="center"/>
    </xf>
    <xf fontId="3" fillId="0" borderId="0" numFmtId="0" xfId="0" applyFont="1" applyAlignment="1">
      <alignment horizontal="center" vertical="center"/>
    </xf>
    <xf fontId="2" fillId="0" borderId="0" numFmtId="0" xfId="0" applyFont="1" applyAlignment="1">
      <alignment vertical="center"/>
    </xf>
    <xf fontId="2" fillId="0" borderId="0" numFmtId="0" xfId="0" applyFont="1" applyAlignment="1">
      <alignment horizontal="left" vertical="center"/>
    </xf>
    <xf fontId="2" fillId="0" borderId="0" numFmtId="0" xfId="0" applyFont="1" applyAlignment="1">
      <alignment horizontal="right" vertical="center"/>
    </xf>
    <xf fontId="3" fillId="0" borderId="0" numFmtId="0" xfId="0" applyFont="1" applyAlignment="1">
      <alignment horizontal="left" vertical="center" wrapText="1"/>
    </xf>
    <xf fontId="4" fillId="2" borderId="1" numFmtId="0" xfId="0" applyFont="1" applyFill="1" applyBorder="1" applyAlignment="1">
      <alignment horizontal="center" vertical="center" wrapText="1"/>
    </xf>
    <xf fontId="5" fillId="3" borderId="1" numFmtId="49" xfId="0" applyNumberFormat="1" applyFont="1" applyFill="1" applyBorder="1" applyAlignment="1">
      <alignment horizontal="center"/>
    </xf>
    <xf fontId="6" fillId="4" borderId="1" numFmtId="49" xfId="0" applyNumberFormat="1" applyFont="1" applyFill="1" applyBorder="1" applyAlignment="1">
      <alignment horizontal="center" vertical="center" wrapText="1"/>
    </xf>
    <xf fontId="6" fillId="4" borderId="1" numFmtId="49" xfId="0" applyNumberFormat="1" applyFont="1" applyFill="1" applyBorder="1" applyAlignment="1">
      <alignment horizontal="left" vertical="top" wrapText="1"/>
    </xf>
    <xf fontId="5" fillId="4" borderId="1" numFmtId="49" xfId="0" applyNumberFormat="1" applyFont="1" applyFill="1" applyBorder="1" applyAlignment="1">
      <alignment horizontal="center"/>
    </xf>
    <xf fontId="6" fillId="4" borderId="1" numFmtId="49" xfId="0" applyNumberFormat="1" applyFont="1" applyFill="1" applyBorder="1" applyAlignment="1">
      <alignment horizontal="center" vertical="center"/>
    </xf>
    <xf fontId="6" fillId="4" borderId="1" numFmtId="49" xfId="0" applyNumberFormat="1" applyFont="1" applyFill="1" applyBorder="1" applyAlignment="1">
      <alignment horizontal="left" vertical="center" wrapText="1"/>
    </xf>
    <xf fontId="7" fillId="4" borderId="1" numFmtId="0" xfId="0" applyFont="1" applyFill="1" applyBorder="1" applyAlignment="1">
      <alignment horizontal="center" vertical="center" wrapText="1"/>
    </xf>
    <xf fontId="6" fillId="4" borderId="1" numFmtId="49" xfId="0" applyNumberFormat="1" applyFont="1" applyFill="1" applyBorder="1" applyAlignment="1">
      <alignment horizontal="center"/>
    </xf>
    <xf fontId="6" fillId="3" borderId="1" numFmtId="49" xfId="0" applyNumberFormat="1" applyFont="1" applyFill="1" applyBorder="1" applyAlignment="1">
      <alignment horizontal="center" vertical="center" wrapText="1"/>
    </xf>
    <xf fontId="8" fillId="3" borderId="1" numFmtId="0" xfId="0" applyFont="1" applyFill="1" applyBorder="1" applyAlignment="1">
      <alignment vertical="top"/>
    </xf>
    <xf fontId="8" fillId="3" borderId="1" numFmtId="0" xfId="0" applyFont="1" applyFill="1" applyBorder="1" applyAlignment="1">
      <alignment vertical="center"/>
    </xf>
    <xf fontId="8" fillId="3" borderId="1" numFmtId="0" xfId="0" applyFont="1" applyFill="1" applyBorder="1" applyAlignment="1">
      <alignment horizontal="center" vertical="center"/>
    </xf>
    <xf fontId="6" fillId="4" borderId="2" numFmtId="49" xfId="0" applyNumberFormat="1" applyFont="1" applyFill="1" applyBorder="1" applyAlignment="1">
      <alignment horizontal="center" vertical="center" wrapText="1"/>
    </xf>
    <xf fontId="6" fillId="0" borderId="1" numFmtId="0" xfId="0" applyFont="1" applyBorder="1" applyAlignment="1">
      <alignment horizontal="left" vertical="top" wrapText="1"/>
    </xf>
    <xf fontId="7" fillId="0" borderId="1" numFmtId="0" xfId="0" applyFont="1" applyBorder="1" applyAlignment="1">
      <alignment horizontal="center" vertical="center" wrapText="1"/>
    </xf>
    <xf fontId="6" fillId="4" borderId="1" numFmtId="0" xfId="0" applyFont="1" applyFill="1" applyBorder="1" applyAlignment="1">
      <alignment horizontal="center" vertical="center" wrapText="1"/>
    </xf>
    <xf fontId="6" fillId="4" borderId="1" numFmtId="164" xfId="0" applyNumberFormat="1" applyFont="1" applyFill="1" applyBorder="1" applyAlignment="1">
      <alignment vertical="center" wrapText="1"/>
    </xf>
    <xf fontId="6" fillId="4" borderId="3" numFmtId="2" xfId="0" applyNumberFormat="1" applyFont="1" applyFill="1" applyBorder="1" applyAlignment="1">
      <alignment horizontal="center" vertical="center" wrapText="1"/>
    </xf>
    <xf fontId="6" fillId="0" borderId="1" numFmtId="49" xfId="0" applyNumberFormat="1" applyFont="1" applyBorder="1" applyAlignment="1">
      <alignment horizontal="left" vertical="center" wrapText="1"/>
    </xf>
    <xf fontId="6" fillId="4" borderId="4" numFmtId="2" xfId="0" applyNumberFormat="1" applyFont="1" applyFill="1" applyBorder="1" applyAlignment="1">
      <alignment horizontal="center" vertical="center" wrapText="1"/>
    </xf>
    <xf fontId="6" fillId="0" borderId="1" numFmtId="49" xfId="0" applyNumberFormat="1" applyFont="1" applyBorder="1" applyAlignment="1">
      <alignment horizontal="left" vertical="top" wrapText="1"/>
    </xf>
    <xf fontId="6" fillId="0" borderId="1" numFmtId="49" xfId="0" applyNumberFormat="1" applyFont="1" applyBorder="1" applyAlignment="1">
      <alignment horizontal="center" vertical="center"/>
    </xf>
    <xf fontId="6" fillId="0" borderId="1" numFmtId="165" xfId="0" applyNumberFormat="1" applyFont="1" applyBorder="1" applyAlignment="1">
      <alignment horizontal="center" vertical="center" wrapText="1"/>
    </xf>
    <xf fontId="6" fillId="4" borderId="1" numFmtId="49" xfId="0" applyNumberFormat="1" applyFont="1" applyFill="1" applyBorder="1" applyAlignment="1">
      <alignment horizontal="center" vertical="top" wrapText="1"/>
    </xf>
    <xf fontId="6" fillId="0" borderId="1" numFmtId="49" xfId="0" applyNumberFormat="1" applyFont="1" applyBorder="1" applyAlignment="1">
      <alignment horizontal="center" vertical="center" wrapText="1"/>
    </xf>
    <xf fontId="6" fillId="4" borderId="5" numFmtId="2" xfId="0" applyNumberFormat="1" applyFont="1" applyFill="1" applyBorder="1" applyAlignment="1">
      <alignment horizontal="center" vertical="center" wrapText="1"/>
    </xf>
    <xf fontId="6" fillId="4" borderId="1" numFmtId="2" xfId="0" applyNumberFormat="1" applyFont="1" applyFill="1" applyBorder="1" applyAlignment="1">
      <alignment vertical="center" wrapText="1"/>
    </xf>
    <xf fontId="6" fillId="4" borderId="1" numFmtId="2" xfId="0" applyNumberFormat="1" applyFont="1" applyFill="1" applyBorder="1" applyAlignment="1">
      <alignment horizontal="center" vertical="center" wrapText="1"/>
    </xf>
    <xf fontId="6" fillId="4" borderId="1" numFmtId="49" xfId="0" applyNumberFormat="1" applyFont="1" applyFill="1" applyBorder="1" applyAlignment="1">
      <alignment horizontal="justify" vertical="top" wrapText="1"/>
    </xf>
    <xf fontId="6" fillId="0" borderId="1" numFmtId="49" xfId="0" applyNumberFormat="1" applyFont="1" applyBorder="1" applyAlignment="1">
      <alignment horizontal="justify" vertical="top" wrapText="1"/>
    </xf>
    <xf fontId="6" fillId="0" borderId="1" numFmtId="0" xfId="0" applyFont="1" applyBorder="1" applyAlignment="1">
      <alignment horizontal="justify" wrapText="1"/>
    </xf>
    <xf fontId="6" fillId="4" borderId="1" numFmtId="0" xfId="0" applyFont="1" applyFill="1" applyBorder="1" applyAlignment="1">
      <alignment horizontal="left" vertical="top" wrapText="1"/>
    </xf>
    <xf fontId="6" fillId="2" borderId="1" numFmtId="49" xfId="0" applyNumberFormat="1" applyFont="1" applyFill="1" applyBorder="1" applyAlignment="1">
      <alignment horizontal="center" vertical="center" wrapText="1"/>
    </xf>
    <xf fontId="8" fillId="2" borderId="1" numFmtId="0" xfId="0" applyFont="1" applyFill="1" applyBorder="1" applyAlignment="1">
      <alignment vertical="top" wrapText="1"/>
    </xf>
    <xf fontId="6" fillId="2" borderId="1" numFmtId="0" xfId="0" applyFont="1" applyFill="1" applyBorder="1" applyAlignment="1">
      <alignment horizontal="center" vertical="center"/>
    </xf>
    <xf fontId="6" fillId="2" borderId="1" numFmtId="0" xfId="0" applyFont="1" applyFill="1" applyBorder="1" applyAlignment="1">
      <alignment horizontal="center" vertical="center" wrapText="1"/>
    </xf>
    <xf fontId="6" fillId="2" borderId="1" numFmtId="0" xfId="0" applyFont="1" applyFill="1" applyBorder="1" applyAlignment="1">
      <alignment vertical="center" wrapText="1"/>
    </xf>
    <xf fontId="6" fillId="2" borderId="1" numFmtId="2" xfId="0" applyNumberFormat="1" applyFont="1" applyFill="1" applyBorder="1" applyAlignment="1">
      <alignment horizontal="center" vertical="center" wrapText="1"/>
    </xf>
    <xf fontId="6" fillId="0" borderId="1" numFmtId="49" xfId="0" applyNumberFormat="1" applyFont="1" applyBorder="1" applyAlignment="1">
      <alignment vertical="center" wrapText="1"/>
    </xf>
    <xf fontId="6" fillId="4" borderId="1" numFmtId="0" xfId="0" applyFont="1" applyFill="1" applyBorder="1" applyAlignment="1">
      <alignment vertical="center" wrapText="1"/>
    </xf>
    <xf fontId="6" fillId="4" borderId="1" numFmtId="164" xfId="0" applyNumberFormat="1" applyFont="1" applyFill="1" applyBorder="1" applyAlignment="1">
      <alignment horizontal="center" vertical="center" wrapText="1"/>
    </xf>
    <xf fontId="8" fillId="2" borderId="1" numFmtId="0" xfId="0" applyFont="1" applyFill="1" applyBorder="1" applyAlignment="1">
      <alignment vertical="center" wrapText="1"/>
    </xf>
    <xf fontId="8" fillId="2" borderId="1" numFmtId="0" xfId="0" applyFont="1" applyFill="1" applyBorder="1" applyAlignment="1">
      <alignment horizontal="center" vertical="center" wrapText="1"/>
    </xf>
    <xf fontId="8" fillId="2" borderId="1" numFmtId="2" xfId="0" applyNumberFormat="1" applyFont="1" applyFill="1" applyBorder="1" applyAlignment="1">
      <alignment horizontal="center" vertical="center" wrapText="1"/>
    </xf>
    <xf fontId="7" fillId="4" borderId="1" numFmtId="16" xfId="0" applyNumberFormat="1" applyFont="1" applyFill="1" applyBorder="1" applyAlignment="1">
      <alignment horizontal="center" vertical="center" wrapText="1"/>
    </xf>
    <xf fontId="7" fillId="4" borderId="1" numFmtId="0" xfId="0" applyFont="1" applyFill="1" applyBorder="1" applyAlignment="1">
      <alignment horizontal="left" vertical="top" wrapText="1"/>
    </xf>
    <xf fontId="5" fillId="4" borderId="1" numFmtId="0" xfId="0" applyFont="1" applyFill="1" applyBorder="1" applyAlignment="1">
      <alignment vertical="center" wrapText="1"/>
    </xf>
    <xf fontId="7" fillId="4" borderId="1" numFmtId="49" xfId="0" applyNumberFormat="1" applyFont="1" applyFill="1" applyBorder="1" applyAlignment="1">
      <alignment horizontal="center" vertical="center" wrapText="1"/>
    </xf>
    <xf fontId="6" fillId="4" borderId="1" numFmtId="49" xfId="0" applyNumberFormat="1" applyFont="1" applyFill="1" applyBorder="1" applyAlignment="1">
      <alignment horizontal="left" wrapText="1"/>
    </xf>
    <xf fontId="6" fillId="4" borderId="1" numFmtId="4" xfId="3" applyNumberFormat="1" applyFont="1" applyFill="1" applyBorder="1" applyAlignment="1">
      <alignment horizontal="left" vertical="top" wrapText="1"/>
    </xf>
    <xf fontId="6" fillId="4" borderId="1" numFmtId="4" xfId="3" applyNumberFormat="1" applyFont="1" applyFill="1" applyBorder="1" applyAlignment="1">
      <alignment horizontal="center" vertical="center" wrapText="1"/>
    </xf>
    <xf fontId="6" fillId="0" borderId="1" numFmtId="4" xfId="3" applyNumberFormat="1" applyFont="1" applyBorder="1" applyAlignment="1">
      <alignment horizontal="center" vertical="center" wrapText="1"/>
    </xf>
    <xf fontId="6" fillId="4" borderId="1" numFmtId="0" xfId="3" applyFont="1" applyFill="1" applyBorder="1" applyAlignment="1">
      <alignment horizontal="center" vertical="center" wrapText="1"/>
    </xf>
    <xf fontId="6" fillId="4" borderId="1" numFmtId="14" xfId="0" applyNumberFormat="1" applyFont="1" applyFill="1" applyBorder="1" applyAlignment="1">
      <alignment horizontal="center" vertical="center" wrapText="1"/>
    </xf>
    <xf fontId="6" fillId="4" borderId="1" numFmtId="0" xfId="0" applyFont="1" applyFill="1" applyBorder="1" applyAlignment="1">
      <alignment vertical="top" wrapText="1"/>
    </xf>
    <xf fontId="5" fillId="2" borderId="1" numFmtId="0" xfId="0" applyFont="1" applyFill="1" applyBorder="1" applyAlignment="1">
      <alignment horizontal="left" vertical="top" wrapText="1"/>
    </xf>
    <xf fontId="6" fillId="2" borderId="1" numFmtId="49" xfId="0" applyNumberFormat="1" applyFont="1" applyFill="1" applyBorder="1" applyAlignment="1">
      <alignment horizontal="center" vertical="center"/>
    </xf>
    <xf fontId="7" fillId="2" borderId="1" numFmtId="0" xfId="0" applyFont="1" applyFill="1" applyBorder="1" applyAlignment="1">
      <alignment horizontal="center" vertical="center" wrapText="1"/>
    </xf>
    <xf fontId="8" fillId="2" borderId="1" numFmtId="0" xfId="0" applyFont="1" applyFill="1" applyBorder="1" applyAlignment="1">
      <alignment vertical="center"/>
    </xf>
    <xf fontId="8" fillId="2" borderId="1" numFmtId="0" xfId="0" applyFont="1" applyFill="1" applyBorder="1" applyAlignment="1">
      <alignment horizontal="center" vertical="center"/>
    </xf>
    <xf fontId="8" fillId="2" borderId="1" numFmtId="2" xfId="0" applyNumberFormat="1" applyFont="1" applyFill="1" applyBorder="1" applyAlignment="1">
      <alignment horizontal="center" vertical="center"/>
    </xf>
    <xf fontId="6" fillId="0" borderId="1" numFmtId="0" xfId="0" applyFont="1" applyBorder="1" applyAlignment="1">
      <alignment horizontal="center" vertical="center" wrapText="1"/>
    </xf>
    <xf fontId="8" fillId="2" borderId="1" numFmtId="0" xfId="0" applyFont="1" applyFill="1" applyBorder="1" applyAlignment="1">
      <alignment vertical="top"/>
    </xf>
    <xf fontId="7" fillId="0" borderId="1" numFmtId="0" xfId="0" applyFont="1" applyBorder="1" applyAlignment="1">
      <alignment horizontal="center" vertical="center"/>
    </xf>
    <xf fontId="6" fillId="0" borderId="1" numFmtId="49" xfId="0" applyNumberFormat="1" applyFont="1" applyBorder="1" applyAlignment="1">
      <alignment vertical="top" wrapText="1"/>
    </xf>
    <xf fontId="7" fillId="4" borderId="1" numFmtId="0" xfId="0" applyFont="1" applyFill="1" applyBorder="1" applyAlignment="1">
      <alignment horizontal="center" vertical="center"/>
    </xf>
    <xf fontId="6" fillId="4" borderId="1" numFmtId="0" xfId="0" applyFont="1" applyFill="1" applyBorder="1" applyAlignment="1">
      <alignment horizontal="center" vertical="center"/>
    </xf>
    <xf fontId="6" fillId="4" borderId="1" numFmtId="2" xfId="0" applyNumberFormat="1" applyFont="1" applyFill="1" applyBorder="1" applyAlignment="1">
      <alignment horizontal="center" vertical="center"/>
    </xf>
    <xf fontId="6" fillId="4" borderId="1" numFmtId="164" xfId="0" applyNumberFormat="1" applyFont="1" applyFill="1" applyBorder="1" applyAlignment="1">
      <alignment horizontal="center" vertical="center"/>
    </xf>
    <xf fontId="6" fillId="2" borderId="1" numFmtId="49" xfId="0" applyNumberFormat="1" applyFont="1" applyFill="1" applyBorder="1" applyAlignment="1">
      <alignment horizontal="right" wrapText="1"/>
    </xf>
    <xf fontId="5" fillId="2" borderId="1" numFmtId="49" xfId="0" applyNumberFormat="1" applyFont="1" applyFill="1" applyBorder="1" applyAlignment="1">
      <alignment horizontal="left" vertical="top" wrapText="1"/>
    </xf>
    <xf fontId="6" fillId="2" borderId="1" numFmtId="0" xfId="0" applyFont="1" applyFill="1" applyBorder="1" applyAlignment="1">
      <alignment wrapText="1"/>
    </xf>
    <xf fontId="6" fillId="2" borderId="1" numFmtId="164" xfId="0" applyNumberFormat="1" applyFont="1" applyFill="1" applyBorder="1" applyAlignment="1">
      <alignment horizontal="center" vertical="center"/>
    </xf>
    <xf fontId="6" fillId="2" borderId="1" numFmtId="2" xfId="0" applyNumberFormat="1" applyFont="1" applyFill="1" applyBorder="1" applyAlignment="1">
      <alignment horizontal="center" vertical="center"/>
    </xf>
    <xf fontId="5" fillId="0" borderId="1" numFmtId="49" xfId="0" applyNumberFormat="1" applyFont="1" applyBorder="1" applyAlignment="1">
      <alignment horizontal="center" vertical="center"/>
    </xf>
    <xf fontId="6" fillId="4" borderId="1" numFmtId="49" xfId="0" applyNumberFormat="1" applyFont="1" applyFill="1" applyBorder="1" applyAlignment="1">
      <alignment vertical="top" wrapText="1"/>
    </xf>
    <xf fontId="5" fillId="4" borderId="1" numFmtId="49" xfId="0" applyNumberFormat="1" applyFont="1" applyFill="1" applyBorder="1" applyAlignment="1">
      <alignment horizontal="center" vertical="center"/>
    </xf>
    <xf fontId="8" fillId="4" borderId="1" numFmtId="0" xfId="0" applyFont="1" applyFill="1" applyBorder="1" applyAlignment="1">
      <alignment vertical="center"/>
    </xf>
    <xf fontId="8" fillId="4" borderId="1" numFmtId="0" xfId="0" applyFont="1" applyFill="1" applyBorder="1" applyAlignment="1">
      <alignment horizontal="center" vertical="center"/>
    </xf>
    <xf fontId="9" fillId="4" borderId="1" numFmtId="2" xfId="0" applyNumberFormat="1" applyFont="1" applyFill="1" applyBorder="1" applyAlignment="1">
      <alignment horizontal="center" vertical="center"/>
    </xf>
    <xf fontId="7" fillId="0" borderId="1" numFmtId="49" xfId="0" applyNumberFormat="1" applyFont="1" applyBorder="1" applyAlignment="1">
      <alignment vertical="top" wrapText="1"/>
    </xf>
    <xf fontId="6" fillId="4" borderId="1" numFmtId="0" xfId="1" applyFont="1" applyFill="1" applyBorder="1" applyAlignment="1">
      <alignment horizontal="left" vertical="center" wrapText="1"/>
    </xf>
    <xf fontId="6" fillId="0" borderId="1" numFmtId="2" xfId="0" applyNumberFormat="1" applyFont="1" applyBorder="1" applyAlignment="1">
      <alignment horizontal="center" vertical="center"/>
    </xf>
    <xf fontId="6" fillId="0" borderId="1" numFmtId="2" xfId="0" applyNumberFormat="1" applyFont="1" applyBorder="1" applyAlignment="1">
      <alignment horizontal="center" vertical="center" wrapText="1"/>
    </xf>
    <xf fontId="6" fillId="2" borderId="1" numFmtId="49" xfId="0" applyNumberFormat="1" applyFont="1" applyFill="1" applyBorder="1" applyAlignment="1">
      <alignment horizontal="right" vertical="center" wrapText="1"/>
    </xf>
    <xf fontId="5" fillId="2" borderId="1" numFmtId="49" xfId="0" applyNumberFormat="1" applyFont="1" applyFill="1" applyBorder="1" applyAlignment="1">
      <alignment horizontal="center" wrapText="1"/>
    </xf>
    <xf fontId="6" fillId="2" borderId="1" numFmtId="164" xfId="0" applyNumberFormat="1" applyFont="1" applyFill="1" applyBorder="1" applyAlignment="1">
      <alignment horizontal="center" vertical="center" wrapText="1"/>
    </xf>
    <xf fontId="5" fillId="2" borderId="1" numFmtId="0" xfId="0" applyFont="1" applyFill="1" applyBorder="1" applyAlignment="1">
      <alignment horizontal="right" vertical="center" wrapText="1"/>
    </xf>
    <xf fontId="4" fillId="2" borderId="1" numFmtId="4" xfId="0" applyNumberFormat="1" applyFont="1" applyFill="1" applyBorder="1" applyAlignment="1">
      <alignment vertical="center"/>
    </xf>
    <xf fontId="5" fillId="3" borderId="1" numFmtId="49" xfId="0" applyNumberFormat="1" applyFont="1" applyFill="1" applyBorder="1" applyAlignment="1">
      <alignment horizontal="center" vertical="top" wrapText="1"/>
    </xf>
    <xf fontId="5" fillId="3" borderId="1" numFmtId="49" xfId="0" applyNumberFormat="1" applyFont="1" applyFill="1" applyBorder="1" applyAlignment="1">
      <alignment horizontal="center" vertical="center" wrapText="1"/>
    </xf>
    <xf fontId="6" fillId="4" borderId="1" numFmtId="165" xfId="0" applyNumberFormat="1" applyFont="1" applyFill="1" applyBorder="1" applyAlignment="1">
      <alignment horizontal="center" vertical="center" wrapText="1"/>
    </xf>
    <xf fontId="10" fillId="4" borderId="1" numFmtId="49" xfId="0" applyNumberFormat="1" applyFont="1" applyFill="1" applyBorder="1" applyAlignment="1">
      <alignment horizontal="center" vertical="center" wrapText="1"/>
    </xf>
    <xf fontId="5" fillId="3" borderId="6" numFmtId="0" xfId="0" applyFont="1" applyFill="1" applyBorder="1" applyAlignment="1">
      <alignment horizontal="center" vertical="top" wrapText="1"/>
    </xf>
    <xf fontId="5" fillId="3" borderId="7" numFmtId="0" xfId="0" applyFont="1" applyFill="1" applyBorder="1" applyAlignment="1">
      <alignment horizontal="center" vertical="top" wrapText="1"/>
    </xf>
    <xf fontId="5" fillId="3" borderId="8" numFmtId="0" xfId="0" applyFont="1" applyFill="1" applyBorder="1" applyAlignment="1">
      <alignment horizontal="center" vertical="top" wrapText="1"/>
    </xf>
    <xf fontId="5" fillId="3" borderId="1" numFmtId="49" xfId="0" applyNumberFormat="1" applyFont="1" applyFill="1" applyBorder="1" applyAlignment="1">
      <alignment horizontal="left" vertical="center" wrapText="1"/>
    </xf>
    <xf fontId="6" fillId="3" borderId="1" numFmtId="2" xfId="0" applyNumberFormat="1" applyFont="1" applyFill="1" applyBorder="1" applyAlignment="1">
      <alignment horizontal="center" vertical="center" wrapText="1"/>
    </xf>
    <xf fontId="6" fillId="4" borderId="1" numFmtId="0" xfId="0" applyFont="1" applyFill="1" applyBorder="1"/>
    <xf fontId="6" fillId="4" borderId="1" numFmtId="2" xfId="1" applyNumberFormat="1" applyFont="1" applyFill="1" applyBorder="1" applyAlignment="1">
      <alignment horizontal="center" vertical="center" wrapText="1"/>
    </xf>
    <xf fontId="6" fillId="5" borderId="1" numFmtId="49" xfId="0" applyNumberFormat="1" applyFont="1" applyFill="1" applyBorder="1" applyAlignment="1">
      <alignment horizontal="left" vertical="center" wrapText="1"/>
    </xf>
    <xf fontId="7" fillId="5" borderId="1" numFmtId="0" xfId="0" applyFont="1" applyFill="1" applyBorder="1" applyAlignment="1">
      <alignment horizontal="center" vertical="center" wrapText="1"/>
    </xf>
    <xf fontId="6" fillId="5" borderId="1" numFmtId="49" xfId="0" applyNumberFormat="1" applyFont="1" applyFill="1" applyBorder="1" applyAlignment="1">
      <alignment horizontal="center" vertical="center" wrapText="1"/>
    </xf>
    <xf fontId="6" fillId="5" borderId="1" numFmtId="0" xfId="0" applyFont="1" applyFill="1" applyBorder="1" applyAlignment="1">
      <alignment horizontal="center" vertical="center"/>
    </xf>
    <xf fontId="6" fillId="5" borderId="1" numFmtId="0" xfId="0" applyFont="1" applyFill="1" applyBorder="1"/>
    <xf fontId="6" fillId="5" borderId="1" numFmtId="2" xfId="1" applyNumberFormat="1" applyFont="1" applyFill="1" applyBorder="1" applyAlignment="1">
      <alignment horizontal="center" vertical="center" wrapText="1"/>
    </xf>
    <xf fontId="6" fillId="5" borderId="1" numFmtId="2" xfId="0" applyNumberFormat="1" applyFont="1" applyFill="1" applyBorder="1" applyAlignment="1">
      <alignment horizontal="center" vertical="center" wrapText="1"/>
    </xf>
    <xf fontId="6" fillId="5" borderId="1" numFmtId="49" xfId="0" applyNumberFormat="1" applyFont="1" applyFill="1" applyBorder="1" applyAlignment="1">
      <alignment horizontal="left" vertical="top" wrapText="1"/>
    </xf>
    <xf fontId="6" fillId="5" borderId="1" numFmtId="49" xfId="0" applyNumberFormat="1" applyFont="1" applyFill="1" applyBorder="1" applyAlignment="1">
      <alignment horizontal="center" vertical="center"/>
    </xf>
    <xf fontId="6" fillId="5" borderId="1" numFmtId="165" xfId="0" applyNumberFormat="1" applyFont="1" applyFill="1" applyBorder="1" applyAlignment="1">
      <alignment horizontal="center" vertical="center" wrapText="1"/>
    </xf>
    <xf fontId="5" fillId="5" borderId="1" numFmtId="49" xfId="0" applyNumberFormat="1" applyFont="1" applyFill="1" applyBorder="1" applyAlignment="1">
      <alignment horizontal="center"/>
    </xf>
    <xf fontId="6" fillId="4" borderId="1" numFmtId="0" xfId="2" applyFont="1" applyFill="1" applyBorder="1" applyAlignment="1">
      <alignment vertical="center" wrapText="1"/>
    </xf>
    <xf fontId="6" fillId="4" borderId="1" numFmtId="0" xfId="1" applyFont="1" applyFill="1" applyBorder="1" applyAlignment="1">
      <alignment horizontal="center" vertical="center"/>
    </xf>
    <xf fontId="6" fillId="4" borderId="1" numFmtId="0" xfId="1" applyFont="1" applyFill="1" applyBorder="1" applyAlignment="1">
      <alignment horizontal="center" vertical="center" wrapText="1"/>
    </xf>
    <xf fontId="6" fillId="4" borderId="1" numFmtId="0" xfId="2" applyFont="1" applyFill="1" applyBorder="1"/>
    <xf fontId="6" fillId="5" borderId="1" numFmtId="49" xfId="0" applyNumberFormat="1" applyFont="1" applyFill="1" applyBorder="1" applyAlignment="1">
      <alignment vertical="center" wrapText="1"/>
    </xf>
    <xf fontId="6" fillId="5" borderId="1" numFmtId="0" xfId="0" applyFont="1" applyFill="1" applyBorder="1" applyAlignment="1">
      <alignment horizontal="center" vertical="center" wrapText="1"/>
    </xf>
    <xf fontId="6" fillId="5" borderId="1" numFmtId="0" xfId="0" applyFont="1" applyFill="1" applyBorder="1" applyAlignment="1">
      <alignment vertical="center" wrapText="1"/>
    </xf>
    <xf fontId="6" fillId="5" borderId="1" numFmtId="164" xfId="0" applyNumberFormat="1" applyFont="1" applyFill="1" applyBorder="1" applyAlignment="1">
      <alignment horizontal="center" vertical="center" wrapText="1"/>
    </xf>
    <xf fontId="6" fillId="4" borderId="0" numFmtId="0" xfId="0" applyFont="1" applyFill="1" applyAlignment="1">
      <alignment horizontal="center" vertical="center"/>
    </xf>
    <xf fontId="0" fillId="4" borderId="1" numFmtId="2" xfId="0" applyNumberFormat="1" applyFill="1" applyBorder="1" applyAlignment="1">
      <alignment horizontal="center" vertical="center"/>
    </xf>
    <xf fontId="6" fillId="4" borderId="1" numFmtId="0" xfId="0" applyFont="1" applyFill="1" applyBorder="1" applyAlignment="1">
      <alignment horizontal="left" vertical="center" wrapText="1"/>
    </xf>
    <xf fontId="6" fillId="4" borderId="1" numFmtId="2" xfId="1" applyNumberFormat="1" applyFont="1" applyFill="1" applyBorder="1" applyAlignment="1">
      <alignment horizontal="center" vertical="center"/>
    </xf>
    <xf fontId="11" fillId="4" borderId="1" numFmtId="0" xfId="0" applyFont="1" applyFill="1" applyBorder="1" applyAlignment="1">
      <alignment horizontal="center" vertical="center" wrapText="1"/>
    </xf>
    <xf fontId="10" fillId="4" borderId="1" numFmtId="0" xfId="0" applyFont="1" applyFill="1" applyBorder="1" applyAlignment="1">
      <alignment horizontal="center" vertical="center" wrapText="1"/>
    </xf>
    <xf fontId="6" fillId="4" borderId="1" numFmtId="4" xfId="1" applyNumberFormat="1" applyFont="1" applyFill="1" applyBorder="1" applyAlignment="1">
      <alignment horizontal="center" vertical="center"/>
    </xf>
    <xf fontId="6" fillId="4" borderId="1" numFmtId="4" xfId="0" applyNumberFormat="1" applyFont="1" applyFill="1" applyBorder="1" applyAlignment="1">
      <alignment horizontal="center" vertical="center" wrapText="1"/>
    </xf>
    <xf fontId="4" fillId="2" borderId="1" numFmtId="0" xfId="0" applyFont="1" applyFill="1" applyBorder="1" applyAlignment="1">
      <alignment horizontal="right" vertical="center" wrapText="1"/>
    </xf>
    <xf fontId="5" fillId="2" borderId="1" numFmtId="4" xfId="0" applyNumberFormat="1" applyFont="1" applyFill="1" applyBorder="1" applyAlignment="1">
      <alignment horizontal="right" vertical="center"/>
    </xf>
    <xf fontId="4" fillId="4" borderId="1" numFmtId="0" xfId="0" applyFont="1" applyFill="1" applyBorder="1" applyAlignment="1">
      <alignment horizontal="center" vertical="center" wrapText="1"/>
    </xf>
    <xf fontId="5" fillId="2" borderId="1" numFmtId="49" xfId="0" applyNumberFormat="1" applyFont="1" applyFill="1" applyBorder="1" applyAlignment="1">
      <alignment horizontal="center" vertical="top" wrapText="1"/>
    </xf>
    <xf fontId="5" fillId="2" borderId="1" numFmtId="49" xfId="0" applyNumberFormat="1" applyFont="1" applyFill="1" applyBorder="1" applyAlignment="1">
      <alignment horizontal="right" vertical="center" wrapText="1"/>
    </xf>
    <xf fontId="5" fillId="2" borderId="1" numFmtId="4" xfId="0" applyNumberFormat="1" applyFont="1" applyFill="1" applyBorder="1" applyAlignment="1">
      <alignment horizontal="right" vertical="center" wrapText="1"/>
    </xf>
    <xf fontId="0" fillId="0" borderId="0" numFmtId="4" xfId="0" applyNumberFormat="1"/>
    <xf fontId="0" fillId="5" borderId="0" numFmtId="4" xfId="0" applyNumberFormat="1" applyFill="1"/>
    <xf fontId="6" fillId="4" borderId="0" numFmtId="49" xfId="0" applyNumberFormat="1" applyFont="1" applyFill="1" applyAlignment="1">
      <alignment horizontal="left" vertical="center" wrapText="1"/>
    </xf>
    <xf fontId="12" fillId="4" borderId="0" numFmtId="49" xfId="0" applyNumberFormat="1" applyFont="1" applyFill="1" applyAlignment="1">
      <alignment horizontal="left" vertical="center" wrapText="1"/>
    </xf>
    <xf fontId="6" fillId="0" borderId="0" numFmtId="49" xfId="0" applyNumberFormat="1" applyFont="1" applyAlignment="1">
      <alignment horizontal="center" vertical="center"/>
    </xf>
    <xf fontId="6" fillId="0" borderId="0" numFmtId="49" xfId="0" applyNumberFormat="1" applyFont="1" applyAlignment="1">
      <alignment vertical="center"/>
    </xf>
    <xf fontId="6" fillId="0" borderId="0" numFmtId="2" xfId="0" applyNumberFormat="1" applyFont="1" applyAlignment="1">
      <alignment horizontal="center" vertical="center"/>
    </xf>
    <xf fontId="6" fillId="0" borderId="0" numFmtId="2" xfId="0" applyNumberFormat="1" applyFont="1" applyAlignment="1">
      <alignment horizontal="right" vertical="center"/>
    </xf>
    <xf fontId="6" fillId="0" borderId="0" numFmtId="49" xfId="0" applyNumberFormat="1" applyFont="1" applyAlignment="1">
      <alignment horizontal="left" vertical="center"/>
    </xf>
    <xf fontId="13" fillId="0" borderId="0" numFmtId="49" xfId="0" applyNumberFormat="1" applyFont="1" applyAlignment="1">
      <alignment horizontal="left" vertical="center"/>
    </xf>
    <xf fontId="14" fillId="0" borderId="0" numFmtId="49" xfId="0" applyNumberFormat="1" applyFont="1" applyAlignment="1">
      <alignment horizontal="center" vertical="center"/>
    </xf>
    <xf fontId="14" fillId="0" borderId="0" numFmtId="49" xfId="0" applyNumberFormat="1" applyFont="1" applyAlignment="1">
      <alignment vertical="center"/>
    </xf>
    <xf fontId="14" fillId="0" borderId="0" numFmtId="2" xfId="0" applyNumberFormat="1" applyFont="1" applyAlignment="1">
      <alignment horizontal="center" vertical="center"/>
    </xf>
    <xf fontId="0" fillId="0" borderId="0" numFmtId="4" xfId="0" applyNumberFormat="1" applyAlignment="1">
      <alignment horizontal="center" vertical="center"/>
    </xf>
    <xf fontId="10" fillId="0" borderId="0" numFmtId="49" xfId="0" applyNumberFormat="1" applyFont="1" applyAlignment="1">
      <alignment horizontal="center" vertical="center"/>
    </xf>
    <xf fontId="10" fillId="0" borderId="0" numFmtId="49" xfId="0" applyNumberFormat="1" applyFont="1" applyAlignment="1">
      <alignment vertical="center"/>
    </xf>
    <xf fontId="10" fillId="0" borderId="0" numFmtId="2" xfId="0" applyNumberFormat="1" applyFont="1" applyAlignment="1">
      <alignment horizontal="center" vertical="center"/>
    </xf>
    <xf fontId="7" fillId="0" borderId="0" numFmtId="0" xfId="0" applyFont="1" applyAlignment="1">
      <alignment horizontal="right" wrapText="1"/>
    </xf>
    <xf fontId="10" fillId="0" borderId="0" numFmtId="0" xfId="0" applyFont="1"/>
    <xf fontId="10" fillId="0" borderId="0" numFmtId="4" xfId="0" applyNumberFormat="1" applyFont="1" applyAlignment="1">
      <alignment horizontal="center" vertical="center"/>
    </xf>
    <xf fontId="4" fillId="0" borderId="0" numFmtId="0" xfId="0" applyFont="1" applyAlignment="1">
      <alignment horizontal="center" vertical="center" wrapText="1"/>
    </xf>
    <xf fontId="10" fillId="0" borderId="0" numFmtId="0" xfId="0" applyFont="1" applyAlignment="1">
      <alignment vertical="top"/>
    </xf>
    <xf fontId="15" fillId="0" borderId="9" numFmtId="49" xfId="0" applyNumberFormat="1" applyFont="1" applyBorder="1" applyAlignment="1">
      <alignment horizontal="center" vertical="center" wrapText="1"/>
    </xf>
    <xf fontId="15" fillId="0" borderId="10" numFmtId="49" xfId="0" applyNumberFormat="1" applyFont="1" applyBorder="1" applyAlignment="1">
      <alignment horizontal="center" vertical="center" wrapText="1"/>
    </xf>
    <xf fontId="16" fillId="0" borderId="10" numFmtId="0" xfId="0" applyFont="1" applyBorder="1" applyAlignment="1">
      <alignment horizontal="center" vertical="center" wrapText="1"/>
    </xf>
    <xf fontId="16" fillId="0" borderId="10" numFmtId="4" xfId="0" applyNumberFormat="1" applyFont="1" applyBorder="1" applyAlignment="1">
      <alignment horizontal="center" vertical="center" wrapText="1"/>
    </xf>
    <xf fontId="16" fillId="0" borderId="11" numFmtId="0" xfId="0" applyFont="1" applyBorder="1" applyAlignment="1">
      <alignment horizontal="center" vertical="center" wrapText="1"/>
    </xf>
    <xf fontId="10" fillId="0" borderId="12" numFmtId="49" xfId="0" applyNumberFormat="1" applyFont="1" applyBorder="1" applyAlignment="1">
      <alignment horizontal="center" vertical="center" wrapText="1"/>
    </xf>
    <xf fontId="10" fillId="0" borderId="5" numFmtId="49" xfId="0" applyNumberFormat="1" applyFont="1" applyBorder="1" applyAlignment="1">
      <alignment horizontal="center" vertical="center" wrapText="1"/>
    </xf>
    <xf fontId="11" fillId="0" borderId="5" numFmtId="0" xfId="0" applyFont="1" applyBorder="1" applyAlignment="1">
      <alignment horizontal="center" vertical="center" wrapText="1"/>
    </xf>
    <xf fontId="11" fillId="0" borderId="5" numFmtId="0" xfId="0" applyFont="1" applyBorder="1" applyAlignment="1">
      <alignment horizontal="center" wrapText="1"/>
    </xf>
    <xf fontId="11" fillId="0" borderId="5" numFmtId="4" xfId="0" applyNumberFormat="1" applyFont="1" applyBorder="1" applyAlignment="1">
      <alignment horizontal="center" vertical="center" wrapText="1"/>
    </xf>
    <xf fontId="11" fillId="0" borderId="13" numFmtId="4" xfId="0" applyNumberFormat="1" applyFont="1" applyBorder="1" applyAlignment="1">
      <alignment horizontal="center" vertical="center" wrapText="1"/>
    </xf>
    <xf fontId="17" fillId="0" borderId="6" numFmtId="0" xfId="0" applyFont="1" applyBorder="1" applyAlignment="1">
      <alignment horizontal="center" vertical="center"/>
    </xf>
    <xf fontId="17" fillId="0" borderId="7" numFmtId="0" xfId="0" applyFont="1" applyBorder="1" applyAlignment="1">
      <alignment horizontal="center" vertical="center"/>
    </xf>
    <xf fontId="5" fillId="0" borderId="1" numFmtId="49" xfId="0" applyNumberFormat="1" applyFont="1" applyBorder="1" applyAlignment="1">
      <alignment horizontal="center"/>
    </xf>
    <xf fontId="6" fillId="0" borderId="1" numFmtId="4" xfId="0" applyNumberFormat="1" applyFont="1" applyBorder="1" applyAlignment="1">
      <alignment horizontal="center" vertical="center"/>
    </xf>
    <xf fontId="10" fillId="0" borderId="6" numFmtId="4" xfId="0" applyNumberFormat="1" applyFont="1" applyBorder="1" applyAlignment="1">
      <alignment horizontal="center" vertical="center"/>
    </xf>
    <xf fontId="10" fillId="0" borderId="1" numFmtId="0" xfId="0" applyFont="1" applyBorder="1"/>
    <xf fontId="6" fillId="0" borderId="1" numFmtId="49" xfId="0" applyNumberFormat="1" applyFont="1" applyBorder="1" applyAlignment="1">
      <alignment horizontal="center"/>
    </xf>
    <xf fontId="8" fillId="0" borderId="1" numFmtId="0" xfId="0" applyFont="1" applyBorder="1" applyAlignment="1">
      <alignment vertical="top"/>
    </xf>
    <xf fontId="8" fillId="0" borderId="1" numFmtId="0" xfId="0" applyFont="1" applyBorder="1" applyAlignment="1">
      <alignment vertical="center"/>
    </xf>
    <xf fontId="8" fillId="0" borderId="1" numFmtId="0" xfId="0" applyFont="1" applyBorder="1" applyAlignment="1">
      <alignment horizontal="center" vertical="center"/>
    </xf>
    <xf fontId="9" fillId="0" borderId="1" numFmtId="4" xfId="0" applyNumberFormat="1" applyFont="1" applyBorder="1" applyAlignment="1">
      <alignment horizontal="center" vertical="center"/>
    </xf>
    <xf fontId="8" fillId="0" borderId="6" numFmtId="4" xfId="0" applyNumberFormat="1" applyFont="1" applyBorder="1" applyAlignment="1">
      <alignment vertical="center"/>
    </xf>
    <xf fontId="6" fillId="0" borderId="2" numFmtId="49" xfId="0" applyNumberFormat="1" applyFont="1" applyBorder="1" applyAlignment="1">
      <alignment horizontal="center" vertical="center" wrapText="1"/>
    </xf>
    <xf fontId="6" fillId="0" borderId="1" numFmtId="164" xfId="0" applyNumberFormat="1" applyFont="1" applyBorder="1" applyAlignment="1">
      <alignment vertical="center" wrapText="1"/>
    </xf>
    <xf fontId="6" fillId="0" borderId="3" numFmtId="4" xfId="0" applyNumberFormat="1" applyFont="1" applyBorder="1" applyAlignment="1">
      <alignment horizontal="center" vertical="center" wrapText="1"/>
    </xf>
    <xf fontId="6" fillId="0" borderId="14" numFmtId="4" xfId="0" applyNumberFormat="1" applyFont="1" applyBorder="1" applyAlignment="1">
      <alignment horizontal="center" vertical="center" wrapText="1"/>
    </xf>
    <xf fontId="6" fillId="0" borderId="4" numFmtId="4" xfId="0" applyNumberFormat="1" applyFont="1" applyBorder="1" applyAlignment="1">
      <alignment horizontal="center" vertical="center" wrapText="1"/>
    </xf>
    <xf fontId="6" fillId="0" borderId="15" numFmtId="4" xfId="0" applyNumberFormat="1" applyFont="1" applyBorder="1" applyAlignment="1">
      <alignment horizontal="center" vertical="center" wrapText="1"/>
    </xf>
    <xf fontId="6" fillId="0" borderId="1" numFmtId="49" xfId="0" applyNumberFormat="1" applyFont="1" applyBorder="1" applyAlignment="1">
      <alignment horizontal="center" vertical="top" wrapText="1"/>
    </xf>
    <xf fontId="6" fillId="0" borderId="5" numFmtId="4" xfId="0" applyNumberFormat="1" applyFont="1" applyBorder="1" applyAlignment="1">
      <alignment horizontal="center" vertical="center" wrapText="1"/>
    </xf>
    <xf fontId="6" fillId="0" borderId="13" numFmtId="4" xfId="0" applyNumberFormat="1" applyFont="1" applyBorder="1" applyAlignment="1">
      <alignment horizontal="center" vertical="center" wrapText="1"/>
    </xf>
    <xf fontId="6" fillId="0" borderId="1" numFmtId="4" xfId="0" applyNumberFormat="1" applyFont="1" applyBorder="1" applyAlignment="1">
      <alignment horizontal="center" vertical="center" wrapText="1"/>
    </xf>
    <xf fontId="6" fillId="0" borderId="6" numFmtId="4" xfId="0" applyNumberFormat="1" applyFont="1" applyBorder="1" applyAlignment="1">
      <alignment horizontal="center" vertical="center" wrapText="1"/>
    </xf>
    <xf fontId="8" fillId="0" borderId="1" numFmtId="0" xfId="0" applyFont="1" applyBorder="1" applyAlignment="1">
      <alignment vertical="top" wrapText="1"/>
    </xf>
    <xf fontId="6" fillId="0" borderId="1" numFmtId="0" xfId="0" applyFont="1" applyBorder="1" applyAlignment="1">
      <alignment horizontal="center" vertical="center"/>
    </xf>
    <xf fontId="6" fillId="0" borderId="1" numFmtId="0" xfId="0" applyFont="1" applyBorder="1" applyAlignment="1">
      <alignment vertical="center" wrapText="1"/>
    </xf>
    <xf fontId="6" fillId="0" borderId="1" numFmtId="164" xfId="0" applyNumberFormat="1" applyFont="1" applyBorder="1" applyAlignment="1">
      <alignment horizontal="center" vertical="center" wrapText="1"/>
    </xf>
    <xf fontId="8" fillId="0" borderId="1" numFmtId="0" xfId="0" applyFont="1" applyBorder="1" applyAlignment="1">
      <alignment vertical="center" wrapText="1"/>
    </xf>
    <xf fontId="8" fillId="0" borderId="1" numFmtId="0" xfId="0" applyFont="1" applyBorder="1" applyAlignment="1">
      <alignment horizontal="center" vertical="center" wrapText="1"/>
    </xf>
    <xf fontId="9" fillId="0" borderId="1" numFmtId="4" xfId="0" applyNumberFormat="1" applyFont="1" applyBorder="1" applyAlignment="1">
      <alignment horizontal="center" vertical="center" wrapText="1"/>
    </xf>
    <xf fontId="8" fillId="0" borderId="6" numFmtId="4" xfId="0" applyNumberFormat="1" applyFont="1" applyBorder="1" applyAlignment="1">
      <alignment horizontal="center" vertical="center" wrapText="1"/>
    </xf>
    <xf fontId="7" fillId="0" borderId="1" numFmtId="16" xfId="0" applyNumberFormat="1" applyFont="1" applyBorder="1" applyAlignment="1">
      <alignment horizontal="center" vertical="center" wrapText="1"/>
    </xf>
    <xf fontId="7" fillId="0" borderId="1" numFmtId="0" xfId="0" applyFont="1" applyBorder="1" applyAlignment="1">
      <alignment horizontal="left" vertical="top" wrapText="1"/>
    </xf>
    <xf fontId="7" fillId="0" borderId="1" numFmtId="49" xfId="0" applyNumberFormat="1" applyFont="1" applyBorder="1" applyAlignment="1">
      <alignment horizontal="center" vertical="center" wrapText="1"/>
    </xf>
    <xf fontId="6" fillId="0" borderId="1" numFmtId="49" xfId="0" applyNumberFormat="1" applyFont="1" applyBorder="1" applyAlignment="1">
      <alignment horizontal="left" wrapText="1"/>
    </xf>
    <xf fontId="6" fillId="0" borderId="1" numFmtId="4" xfId="3" applyNumberFormat="1" applyFont="1" applyBorder="1" applyAlignment="1">
      <alignment horizontal="left" vertical="top" wrapText="1"/>
    </xf>
    <xf fontId="6" fillId="0" borderId="1" numFmtId="0" xfId="3" applyFont="1" applyBorder="1" applyAlignment="1">
      <alignment horizontal="center" vertical="center" wrapText="1"/>
    </xf>
    <xf fontId="6" fillId="0" borderId="1" numFmtId="14" xfId="0" applyNumberFormat="1" applyFont="1" applyBorder="1" applyAlignment="1">
      <alignment horizontal="center" vertical="center" wrapText="1"/>
    </xf>
    <xf fontId="6" fillId="0" borderId="1" numFmtId="0" xfId="0" applyFont="1" applyBorder="1" applyAlignment="1">
      <alignment vertical="top" wrapText="1"/>
    </xf>
    <xf fontId="5" fillId="0" borderId="1" numFmtId="0" xfId="0" applyFont="1" applyBorder="1" applyAlignment="1">
      <alignment horizontal="left" vertical="top" wrapText="1"/>
    </xf>
    <xf fontId="8" fillId="0" borderId="6" numFmtId="4" xfId="0" applyNumberFormat="1" applyFont="1" applyBorder="1" applyAlignment="1">
      <alignment horizontal="center" vertical="center"/>
    </xf>
    <xf fontId="6" fillId="0" borderId="1" numFmtId="164" xfId="0" applyNumberFormat="1" applyFont="1" applyBorder="1" applyAlignment="1">
      <alignment horizontal="center" vertical="center"/>
    </xf>
    <xf fontId="6" fillId="0" borderId="1" numFmtId="49" xfId="0" applyNumberFormat="1" applyFont="1" applyBorder="1" applyAlignment="1">
      <alignment horizontal="right" wrapText="1"/>
    </xf>
    <xf fontId="5" fillId="0" borderId="1" numFmtId="49" xfId="0" applyNumberFormat="1" applyFont="1" applyBorder="1" applyAlignment="1">
      <alignment horizontal="left" vertical="top" wrapText="1"/>
    </xf>
    <xf fontId="6" fillId="0" borderId="1" numFmtId="0" xfId="0" applyFont="1" applyBorder="1" applyAlignment="1">
      <alignment wrapText="1"/>
    </xf>
    <xf fontId="6" fillId="0" borderId="6" numFmtId="4" xfId="0" applyNumberFormat="1" applyFont="1" applyBorder="1" applyAlignment="1">
      <alignment horizontal="center" vertical="center"/>
    </xf>
    <xf fontId="0" fillId="5" borderId="0" numFmtId="0" xfId="0" applyFill="1"/>
    <xf fontId="6" fillId="5" borderId="1" numFmtId="4" xfId="0" applyNumberFormat="1" applyFont="1" applyFill="1" applyBorder="1" applyAlignment="1">
      <alignment horizontal="center" vertical="center" wrapText="1"/>
    </xf>
    <xf fontId="10" fillId="5" borderId="6" numFmtId="4" xfId="0" applyNumberFormat="1" applyFont="1" applyFill="1" applyBorder="1" applyAlignment="1">
      <alignment horizontal="center" vertical="center"/>
    </xf>
    <xf fontId="10" fillId="5" borderId="1" numFmtId="0" xfId="0" applyFont="1" applyFill="1" applyBorder="1"/>
    <xf fontId="10" fillId="0" borderId="1" numFmtId="49" xfId="0" applyNumberFormat="1" applyFont="1" applyBorder="1" applyAlignment="1">
      <alignment horizontal="right" vertical="center" wrapText="1"/>
    </xf>
    <xf fontId="10" fillId="0" borderId="1" numFmtId="0" xfId="0" applyFont="1" applyBorder="1" applyAlignment="1">
      <alignment vertical="top" wrapText="1"/>
    </xf>
    <xf fontId="10" fillId="0" borderId="1" numFmtId="0" xfId="1" applyFont="1" applyBorder="1" applyAlignment="1">
      <alignment horizontal="center" vertical="center"/>
    </xf>
    <xf fontId="10" fillId="0" borderId="1" numFmtId="0" xfId="1" applyFont="1" applyBorder="1" applyAlignment="1">
      <alignment horizontal="center" vertical="center" wrapText="1"/>
    </xf>
    <xf fontId="11" fillId="0" borderId="1" numFmtId="0" xfId="0" applyFont="1" applyBorder="1" applyAlignment="1">
      <alignment wrapText="1"/>
    </xf>
    <xf fontId="7" fillId="0" borderId="6" numFmtId="4" xfId="0" applyNumberFormat="1" applyFont="1" applyBorder="1" applyAlignment="1">
      <alignment horizontal="center" vertical="center" wrapText="1"/>
    </xf>
    <xf fontId="10" fillId="0" borderId="1" numFmtId="0" xfId="1" applyFont="1" applyBorder="1" applyAlignment="1">
      <alignment horizontal="left" vertical="top" wrapText="1"/>
    </xf>
    <xf fontId="6" fillId="0" borderId="1" numFmtId="0" xfId="1" applyFont="1" applyBorder="1" applyAlignment="1">
      <alignment horizontal="left" vertical="center" wrapText="1"/>
    </xf>
    <xf fontId="10" fillId="0" borderId="1" numFmtId="0" xfId="1" applyFont="1" applyBorder="1" applyAlignment="1">
      <alignment horizontal="left" vertical="center" wrapText="1"/>
    </xf>
    <xf fontId="10" fillId="0" borderId="1" numFmtId="49" xfId="0" applyNumberFormat="1" applyFont="1" applyBorder="1" applyAlignment="1">
      <alignment vertical="top" wrapText="1"/>
    </xf>
    <xf fontId="11" fillId="0" borderId="1" numFmtId="0" xfId="0" applyFont="1" applyBorder="1" applyAlignment="1">
      <alignment horizontal="center" vertical="center" wrapText="1"/>
    </xf>
    <xf fontId="6" fillId="0" borderId="1" numFmtId="49" xfId="0" applyNumberFormat="1" applyFont="1" applyBorder="1" applyAlignment="1">
      <alignment horizontal="right" vertical="center" wrapText="1"/>
    </xf>
    <xf fontId="5" fillId="0" borderId="1" numFmtId="49" xfId="0" applyNumberFormat="1" applyFont="1" applyBorder="1" applyAlignment="1">
      <alignment horizontal="center" wrapText="1"/>
    </xf>
    <xf fontId="5" fillId="0" borderId="1" numFmtId="0" xfId="0" applyFont="1" applyBorder="1" applyAlignment="1">
      <alignment horizontal="right" vertical="center" wrapText="1"/>
    </xf>
    <xf fontId="4" fillId="0" borderId="1" numFmtId="4" xfId="0" applyNumberFormat="1" applyFont="1" applyBorder="1" applyAlignment="1">
      <alignment vertical="center"/>
    </xf>
    <xf fontId="6" fillId="4" borderId="1" numFmtId="4" xfId="0" applyNumberFormat="1" applyFont="1" applyFill="1" applyBorder="1" applyAlignment="1">
      <alignment horizontal="center" vertical="center"/>
    </xf>
    <xf fontId="6" fillId="4" borderId="3" numFmtId="4" xfId="0" applyNumberFormat="1" applyFont="1" applyFill="1" applyBorder="1" applyAlignment="1">
      <alignment horizontal="center" vertical="center" wrapText="1"/>
    </xf>
    <xf fontId="10" fillId="0" borderId="1" numFmtId="4" xfId="0" applyNumberFormat="1" applyFont="1" applyBorder="1" applyAlignment="1">
      <alignment horizontal="center" vertical="center"/>
    </xf>
    <xf fontId="9" fillId="4" borderId="1" numFmtId="0" xfId="0" applyFont="1" applyFill="1" applyBorder="1" applyAlignment="1">
      <alignment horizontal="center" vertical="center"/>
    </xf>
    <xf fontId="9" fillId="4" borderId="1" numFmtId="4" xfId="0" applyNumberFormat="1" applyFont="1" applyFill="1" applyBorder="1" applyAlignment="1">
      <alignment horizontal="center" vertical="center"/>
    </xf>
    <xf fontId="10" fillId="5" borderId="1" numFmtId="4" xfId="0" applyNumberFormat="1" applyFont="1" applyFill="1" applyBorder="1" applyAlignment="1">
      <alignment horizontal="center" vertical="center"/>
    </xf>
    <xf fontId="5" fillId="4" borderId="1" numFmtId="49" xfId="0" applyNumberFormat="1" applyFont="1" applyFill="1" applyBorder="1" applyAlignment="1">
      <alignment horizontal="center" vertical="center" wrapText="1"/>
    </xf>
    <xf fontId="10" fillId="0" borderId="8" numFmtId="0" xfId="0" applyFont="1" applyBorder="1" applyAlignment="1">
      <alignment horizontal="center" vertical="center"/>
    </xf>
    <xf fontId="10" fillId="4" borderId="1" numFmtId="4" xfId="0" applyNumberFormat="1" applyFont="1" applyFill="1" applyBorder="1" applyAlignment="1">
      <alignment horizontal="center" vertical="center"/>
    </xf>
    <xf fontId="10" fillId="4" borderId="8" numFmtId="0" xfId="0" applyFont="1" applyFill="1" applyBorder="1" applyAlignment="1">
      <alignment horizontal="center" vertical="center"/>
    </xf>
    <xf fontId="10" fillId="0" borderId="1" numFmtId="0" xfId="0" applyFont="1" applyBorder="1" applyAlignment="1">
      <alignment horizontal="center" vertical="center"/>
    </xf>
    <xf fontId="10" fillId="4" borderId="1" numFmtId="0" xfId="0" applyFont="1" applyFill="1" applyBorder="1" applyAlignment="1">
      <alignment horizontal="center" vertical="center"/>
    </xf>
    <xf fontId="5" fillId="4" borderId="1" numFmtId="49" xfId="0" applyNumberFormat="1" applyFont="1" applyFill="1" applyBorder="1" applyAlignment="1">
      <alignment horizontal="left" vertical="center" wrapText="1"/>
    </xf>
    <xf fontId="6" fillId="3" borderId="1" numFmtId="4" xfId="0" applyNumberFormat="1" applyFont="1" applyFill="1" applyBorder="1" applyAlignment="1">
      <alignment horizontal="center" vertical="center" wrapText="1"/>
    </xf>
    <xf fontId="6" fillId="4" borderId="1" numFmtId="49" xfId="0" applyNumberFormat="1" applyFont="1" applyFill="1" applyBorder="1" applyAlignment="1">
      <alignment vertical="center" wrapText="1"/>
    </xf>
    <xf fontId="6" fillId="4" borderId="1" numFmtId="2" xfId="2" applyNumberFormat="1" applyFont="1" applyFill="1" applyBorder="1" applyAlignment="1">
      <alignment horizontal="center" vertical="center" wrapText="1"/>
    </xf>
    <xf fontId="10" fillId="4" borderId="1" numFmtId="2" xfId="0" applyNumberFormat="1" applyFont="1" applyFill="1" applyBorder="1" applyAlignment="1">
      <alignment horizontal="center" vertical="center"/>
    </xf>
    <xf fontId="6" fillId="5" borderId="1" numFmtId="4" xfId="0" applyNumberFormat="1" applyFont="1" applyFill="1" applyBorder="1" applyAlignment="1">
      <alignment horizontal="center" vertical="center"/>
    </xf>
    <xf fontId="6" fillId="5" borderId="1" numFmtId="49" xfId="0" applyNumberFormat="1" applyFont="1" applyFill="1" applyBorder="1" applyAlignment="1">
      <alignment vertical="top" wrapText="1"/>
    </xf>
    <xf fontId="10" fillId="4" borderId="0" numFmtId="4" xfId="0" applyNumberFormat="1" applyFont="1" applyFill="1" applyAlignment="1">
      <alignment horizontal="center" vertical="center"/>
    </xf>
    <xf fontId="6" fillId="0" borderId="0" numFmtId="4" xfId="0" applyNumberFormat="1" applyFont="1" applyAlignment="1">
      <alignment horizontal="center" vertical="center"/>
    </xf>
    <xf fontId="14" fillId="0" borderId="0" numFmtId="4" xfId="0" applyNumberFormat="1" applyFont="1" applyAlignment="1">
      <alignment horizontal="center" vertical="center"/>
    </xf>
  </cellXfs>
  <cellStyles count="4">
    <cellStyle name="Обычный" xfId="0" builtinId="0"/>
    <cellStyle name="Обычный 2" xfId="1"/>
    <cellStyle name="Обычный 3" xfId="2"/>
    <cellStyle name="Обычный_Лист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Arial"/>
        <a:cs typeface="Arial"/>
      </a:majorFont>
      <a:minorFont>
        <a:latin typeface="Calibri"/>
        <a:ea typeface="Arial"/>
        <a:cs typeface="Arial"/>
      </a:minorFont>
    </a:fontScheme>
    <a:fmtScheme name="Стандартная">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view="pageBreakPreview" topLeftCell="A208" zoomScale="90" workbookViewId="0">
      <selection activeCell="H193" activeCellId="0" sqref="H193"/>
    </sheetView>
  </sheetViews>
  <sheetFormatPr defaultColWidth="9.1796875" defaultRowHeight="12.5"/>
  <cols>
    <col customWidth="1" min="1" max="1" style="2" width="9.1796875"/>
    <col customWidth="1" min="2" max="2" style="3" width="64.54296875"/>
    <col customWidth="1" min="3" max="3" style="2" width="10.54296875"/>
    <col customWidth="1" min="4" max="5" style="4" width="9.7265625"/>
    <col customWidth="1" min="6" max="6" style="4" width="12.81640625"/>
    <col bestFit="1" customWidth="1" min="7" max="7" style="4" width="15.26953125"/>
    <col bestFit="1" customWidth="1" min="8" max="8" style="4" width="21.81640625"/>
    <col customWidth="1" min="9" max="9" style="1" width="31.54296875"/>
    <col bestFit="1" customWidth="1" min="10" max="10" style="1" width="11.81640625"/>
    <col bestFit="1" customWidth="1" min="11" max="11" style="1" width="11"/>
    <col min="12" max="16384" style="1" width="9.1796875"/>
  </cols>
  <sheetData>
    <row r="1">
      <c r="G1" s="5" t="s">
        <v>0</v>
      </c>
      <c r="H1" s="5"/>
    </row>
    <row r="2" ht="61" customHeight="1">
      <c r="G2" s="6" t="s">
        <v>1</v>
      </c>
      <c r="H2" s="6"/>
    </row>
    <row r="4" s="0" customFormat="1" ht="15">
      <c r="A4" s="7" t="s">
        <v>2</v>
      </c>
      <c r="B4" s="7"/>
      <c r="C4" s="7"/>
      <c r="D4" s="7"/>
      <c r="E4" s="7"/>
      <c r="F4" s="7"/>
      <c r="G4" s="7"/>
      <c r="H4" s="7"/>
    </row>
    <row r="5" s="0" customFormat="1" ht="15.5">
      <c r="A5" s="8" t="s">
        <v>3</v>
      </c>
      <c r="B5" s="8"/>
      <c r="C5" s="8"/>
      <c r="D5" s="8"/>
      <c r="E5" s="8"/>
      <c r="F5" s="8"/>
      <c r="G5" s="8"/>
      <c r="H5" s="8"/>
    </row>
    <row r="6" s="0" customFormat="1" ht="15">
      <c r="A6" s="7"/>
      <c r="B6" s="7"/>
      <c r="C6" s="7"/>
      <c r="D6" s="7"/>
      <c r="E6" s="7"/>
      <c r="F6" s="7"/>
      <c r="G6" s="9"/>
      <c r="H6" s="9"/>
    </row>
    <row r="7" s="0" customFormat="1" ht="15">
      <c r="A7" s="10" t="s">
        <v>4</v>
      </c>
      <c r="B7" s="7"/>
      <c r="C7" s="7"/>
      <c r="D7" s="7"/>
      <c r="E7" s="7"/>
      <c r="F7" s="11" t="s">
        <v>5</v>
      </c>
      <c r="G7" s="11"/>
      <c r="H7" s="11"/>
    </row>
    <row r="8" ht="15">
      <c r="A8" s="7"/>
      <c r="B8" s="7"/>
      <c r="C8" s="7"/>
      <c r="D8" s="7"/>
      <c r="E8" s="7"/>
      <c r="F8" s="7"/>
      <c r="G8" s="9"/>
      <c r="H8" s="9"/>
    </row>
    <row r="9" ht="68.5" customHeight="1">
      <c r="A9" s="12" t="s">
        <v>6</v>
      </c>
      <c r="B9" s="12"/>
      <c r="C9" s="12"/>
      <c r="D9" s="12"/>
      <c r="E9" s="12"/>
      <c r="F9" s="12"/>
      <c r="G9" s="12"/>
      <c r="H9" s="12"/>
    </row>
    <row r="10" ht="14.15" customHeight="1">
      <c r="A10" s="13" t="s">
        <v>7</v>
      </c>
      <c r="B10" s="13" t="s">
        <v>8</v>
      </c>
      <c r="C10" s="13" t="s">
        <v>9</v>
      </c>
      <c r="D10" s="13" t="s">
        <v>10</v>
      </c>
      <c r="E10" s="13" t="s">
        <v>11</v>
      </c>
      <c r="F10" s="13"/>
      <c r="G10" s="13" t="s">
        <v>12</v>
      </c>
      <c r="H10" s="13" t="s">
        <v>13</v>
      </c>
    </row>
    <row r="11" ht="14">
      <c r="A11" s="13"/>
      <c r="B11" s="13"/>
      <c r="C11" s="13"/>
      <c r="D11" s="13"/>
      <c r="E11" s="13" t="s">
        <v>14</v>
      </c>
      <c r="F11" s="13" t="s">
        <v>15</v>
      </c>
      <c r="G11" s="13"/>
      <c r="H11" s="13"/>
    </row>
    <row r="12" ht="14.15" customHeight="1">
      <c r="A12" s="14" t="s">
        <v>16</v>
      </c>
      <c r="B12" s="14"/>
      <c r="C12" s="14"/>
      <c r="D12" s="14"/>
      <c r="E12" s="14"/>
      <c r="F12" s="14"/>
      <c r="G12" s="14"/>
      <c r="H12" s="14"/>
    </row>
    <row r="13" ht="70">
      <c r="A13" s="15" t="s">
        <v>17</v>
      </c>
      <c r="B13" s="16" t="s">
        <v>18</v>
      </c>
      <c r="C13" s="15" t="s">
        <v>19</v>
      </c>
      <c r="D13" s="15" t="s">
        <v>20</v>
      </c>
      <c r="E13" s="17"/>
      <c r="F13" s="17"/>
      <c r="G13" s="17"/>
      <c r="H13" s="18" t="s">
        <v>21</v>
      </c>
    </row>
    <row r="14" ht="28">
      <c r="A14" s="15" t="s">
        <v>22</v>
      </c>
      <c r="B14" s="19" t="s">
        <v>23</v>
      </c>
      <c r="C14" s="20" t="s">
        <v>24</v>
      </c>
      <c r="D14" s="20">
        <v>1.6000000000000001</v>
      </c>
      <c r="E14" s="17"/>
      <c r="F14" s="17"/>
      <c r="G14" s="17"/>
      <c r="H14" s="18" t="s">
        <v>25</v>
      </c>
    </row>
    <row r="15" ht="42">
      <c r="A15" s="15" t="s">
        <v>26</v>
      </c>
      <c r="B15" s="19" t="s">
        <v>27</v>
      </c>
      <c r="C15" s="20" t="s">
        <v>19</v>
      </c>
      <c r="D15" s="20">
        <v>1</v>
      </c>
      <c r="E15" s="17"/>
      <c r="F15" s="21"/>
      <c r="G15" s="17"/>
      <c r="H15" s="18" t="s">
        <v>28</v>
      </c>
    </row>
    <row r="16" ht="28">
      <c r="A16" s="15" t="s">
        <v>29</v>
      </c>
      <c r="B16" s="19" t="s">
        <v>30</v>
      </c>
      <c r="C16" s="20" t="s">
        <v>24</v>
      </c>
      <c r="D16" s="20">
        <v>1.6000000000000001</v>
      </c>
      <c r="E16" s="17"/>
      <c r="F16" s="17"/>
      <c r="G16" s="17"/>
      <c r="H16" s="18" t="s">
        <v>25</v>
      </c>
    </row>
    <row r="17" ht="28">
      <c r="A17" s="15" t="s">
        <v>31</v>
      </c>
      <c r="B17" s="19" t="s">
        <v>32</v>
      </c>
      <c r="C17" s="20" t="s">
        <v>24</v>
      </c>
      <c r="D17" s="20">
        <v>1</v>
      </c>
      <c r="E17" s="17"/>
      <c r="F17" s="17"/>
      <c r="G17" s="17"/>
      <c r="H17" s="18" t="s">
        <v>21</v>
      </c>
    </row>
    <row r="18" ht="28">
      <c r="A18" s="15" t="s">
        <v>33</v>
      </c>
      <c r="B18" s="19" t="s">
        <v>34</v>
      </c>
      <c r="C18" s="20" t="s">
        <v>24</v>
      </c>
      <c r="D18" s="20">
        <v>1.3999999999999999</v>
      </c>
      <c r="E18" s="17"/>
      <c r="F18" s="17"/>
      <c r="G18" s="17"/>
      <c r="H18" s="18" t="s">
        <v>35</v>
      </c>
    </row>
    <row r="19" ht="28">
      <c r="A19" s="15" t="s">
        <v>36</v>
      </c>
      <c r="B19" s="19" t="s">
        <v>37</v>
      </c>
      <c r="C19" s="20" t="s">
        <v>24</v>
      </c>
      <c r="D19" s="20">
        <v>2.1000000000000001</v>
      </c>
      <c r="E19" s="17"/>
      <c r="F19" s="17"/>
      <c r="G19" s="17"/>
      <c r="H19" s="18" t="s">
        <v>38</v>
      </c>
    </row>
    <row r="20" ht="42">
      <c r="A20" s="15" t="s">
        <v>39</v>
      </c>
      <c r="B20" s="16" t="s">
        <v>40</v>
      </c>
      <c r="C20" s="20" t="s">
        <v>19</v>
      </c>
      <c r="D20" s="20">
        <v>20</v>
      </c>
      <c r="E20" s="17"/>
      <c r="F20" s="17"/>
      <c r="G20" s="17"/>
      <c r="H20" s="18" t="s">
        <v>41</v>
      </c>
    </row>
    <row r="21" ht="42">
      <c r="A21" s="15" t="s">
        <v>42</v>
      </c>
      <c r="B21" s="16" t="s">
        <v>43</v>
      </c>
      <c r="C21" s="20" t="s">
        <v>19</v>
      </c>
      <c r="D21" s="20">
        <v>1</v>
      </c>
      <c r="E21" s="17"/>
      <c r="F21" s="17"/>
      <c r="G21" s="17"/>
      <c r="H21" s="18" t="s">
        <v>21</v>
      </c>
    </row>
    <row r="22" ht="42">
      <c r="A22" s="15" t="s">
        <v>44</v>
      </c>
      <c r="B22" s="19" t="s">
        <v>45</v>
      </c>
      <c r="C22" s="20" t="s">
        <v>19</v>
      </c>
      <c r="D22" s="20">
        <v>12</v>
      </c>
      <c r="E22" s="17"/>
      <c r="F22" s="17"/>
      <c r="G22" s="17"/>
      <c r="H22" s="18" t="s">
        <v>46</v>
      </c>
    </row>
    <row r="23" ht="70">
      <c r="A23" s="15" t="s">
        <v>47</v>
      </c>
      <c r="B23" s="19" t="s">
        <v>48</v>
      </c>
      <c r="C23" s="20" t="s">
        <v>19</v>
      </c>
      <c r="D23" s="20">
        <v>5</v>
      </c>
      <c r="E23" s="17"/>
      <c r="F23" s="17"/>
      <c r="G23" s="17"/>
      <c r="H23" s="18" t="s">
        <v>49</v>
      </c>
    </row>
    <row r="24" ht="28">
      <c r="A24" s="15" t="s">
        <v>50</v>
      </c>
      <c r="B24" s="19" t="s">
        <v>51</v>
      </c>
      <c r="C24" s="20" t="s">
        <v>19</v>
      </c>
      <c r="D24" s="20">
        <v>1</v>
      </c>
      <c r="E24" s="17"/>
      <c r="F24" s="17"/>
      <c r="G24" s="17"/>
      <c r="H24" s="18" t="s">
        <v>21</v>
      </c>
    </row>
    <row r="25" ht="28">
      <c r="A25" s="15" t="s">
        <v>52</v>
      </c>
      <c r="B25" s="19" t="s">
        <v>53</v>
      </c>
      <c r="C25" s="20" t="s">
        <v>54</v>
      </c>
      <c r="D25" s="20">
        <v>2</v>
      </c>
      <c r="E25" s="17"/>
      <c r="F25" s="17"/>
      <c r="G25" s="17"/>
      <c r="H25" s="18" t="s">
        <v>55</v>
      </c>
    </row>
    <row r="26" ht="42">
      <c r="A26" s="15" t="s">
        <v>56</v>
      </c>
      <c r="B26" s="19" t="s">
        <v>57</v>
      </c>
      <c r="C26" s="20" t="s">
        <v>58</v>
      </c>
      <c r="D26" s="20">
        <v>1</v>
      </c>
      <c r="E26" s="17"/>
      <c r="F26" s="17"/>
      <c r="G26" s="17"/>
      <c r="H26" s="18" t="s">
        <v>59</v>
      </c>
    </row>
    <row r="27" s="0" customFormat="1" ht="14">
      <c r="A27" s="22"/>
      <c r="B27" s="23" t="s">
        <v>60</v>
      </c>
      <c r="C27" s="24"/>
      <c r="D27" s="24"/>
      <c r="E27" s="24"/>
      <c r="F27" s="25"/>
      <c r="G27" s="24"/>
      <c r="H27" s="24"/>
    </row>
    <row r="28" s="0" customFormat="1" ht="70">
      <c r="A28" s="26" t="s">
        <v>61</v>
      </c>
      <c r="B28" s="27" t="s">
        <v>62</v>
      </c>
      <c r="C28" s="28" t="s">
        <v>19</v>
      </c>
      <c r="D28" s="28">
        <v>2</v>
      </c>
      <c r="E28" s="29"/>
      <c r="F28" s="30"/>
      <c r="G28" s="31"/>
      <c r="H28" s="31">
        <v>2079550</v>
      </c>
    </row>
    <row r="29" s="0" customFormat="1" ht="98">
      <c r="A29" s="15" t="s">
        <v>63</v>
      </c>
      <c r="B29" s="32" t="s">
        <v>64</v>
      </c>
      <c r="C29" s="28" t="s">
        <v>65</v>
      </c>
      <c r="D29" s="28">
        <v>2</v>
      </c>
      <c r="E29" s="29"/>
      <c r="F29" s="30"/>
      <c r="G29" s="33"/>
      <c r="H29" s="33"/>
    </row>
    <row r="30" s="0" customFormat="1" ht="84">
      <c r="A30" s="15" t="s">
        <v>66</v>
      </c>
      <c r="B30" s="34" t="s">
        <v>67</v>
      </c>
      <c r="C30" s="28" t="s">
        <v>65</v>
      </c>
      <c r="D30" s="28">
        <v>12</v>
      </c>
      <c r="E30" s="29"/>
      <c r="F30" s="30"/>
      <c r="G30" s="33"/>
      <c r="H30" s="33"/>
    </row>
    <row r="31" ht="42">
      <c r="A31" s="15" t="s">
        <v>68</v>
      </c>
      <c r="B31" s="32" t="s">
        <v>69</v>
      </c>
      <c r="C31" s="28" t="s">
        <v>65</v>
      </c>
      <c r="D31" s="28">
        <v>12</v>
      </c>
      <c r="E31" s="29"/>
      <c r="F31" s="30"/>
      <c r="G31" s="33"/>
      <c r="H31" s="33"/>
    </row>
    <row r="32" s="0" customFormat="1" ht="56">
      <c r="A32" s="15" t="s">
        <v>70</v>
      </c>
      <c r="B32" s="32" t="s">
        <v>71</v>
      </c>
      <c r="C32" s="35" t="s">
        <v>65</v>
      </c>
      <c r="D32" s="36">
        <v>12</v>
      </c>
      <c r="E32" s="29"/>
      <c r="F32" s="30"/>
      <c r="G32" s="33"/>
      <c r="H32" s="33"/>
    </row>
    <row r="33" s="0" customFormat="1" ht="28">
      <c r="A33" s="15" t="s">
        <v>72</v>
      </c>
      <c r="B33" s="32" t="s">
        <v>73</v>
      </c>
      <c r="C33" s="35" t="s">
        <v>65</v>
      </c>
      <c r="D33" s="36">
        <v>14</v>
      </c>
      <c r="E33" s="29"/>
      <c r="F33" s="30"/>
      <c r="G33" s="33"/>
      <c r="H33" s="33"/>
    </row>
    <row r="34" s="0" customFormat="1" ht="28">
      <c r="A34" s="15" t="s">
        <v>74</v>
      </c>
      <c r="B34" s="32" t="s">
        <v>75</v>
      </c>
      <c r="C34" s="35" t="s">
        <v>65</v>
      </c>
      <c r="D34" s="36">
        <v>12</v>
      </c>
      <c r="E34" s="29"/>
      <c r="F34" s="30"/>
      <c r="G34" s="33"/>
      <c r="H34" s="33"/>
    </row>
    <row r="35" s="0" customFormat="1" ht="56">
      <c r="A35" s="15" t="s">
        <v>76</v>
      </c>
      <c r="B35" s="32" t="s">
        <v>77</v>
      </c>
      <c r="C35" s="35" t="s">
        <v>65</v>
      </c>
      <c r="D35" s="36">
        <v>2</v>
      </c>
      <c r="E35" s="29"/>
      <c r="F35" s="30"/>
      <c r="G35" s="33"/>
      <c r="H35" s="33"/>
    </row>
    <row r="36" s="0" customFormat="1" ht="84">
      <c r="A36" s="15" t="s">
        <v>78</v>
      </c>
      <c r="B36" s="32" t="s">
        <v>79</v>
      </c>
      <c r="C36" s="35" t="s">
        <v>65</v>
      </c>
      <c r="D36" s="36">
        <v>2</v>
      </c>
      <c r="E36" s="29"/>
      <c r="F36" s="30"/>
      <c r="G36" s="33"/>
      <c r="H36" s="33"/>
    </row>
    <row r="37" s="0" customFormat="1" ht="28">
      <c r="A37" s="37" t="s">
        <v>80</v>
      </c>
      <c r="B37" s="27" t="s">
        <v>81</v>
      </c>
      <c r="C37" s="28" t="s">
        <v>82</v>
      </c>
      <c r="D37" s="28">
        <v>2</v>
      </c>
      <c r="E37" s="29"/>
      <c r="F37" s="30"/>
      <c r="G37" s="33"/>
      <c r="H37" s="33"/>
    </row>
    <row r="38" s="0" customFormat="1" ht="28">
      <c r="A38" s="37" t="s">
        <v>83</v>
      </c>
      <c r="B38" s="34" t="s">
        <v>84</v>
      </c>
      <c r="C38" s="38" t="s">
        <v>65</v>
      </c>
      <c r="D38" s="38" t="s">
        <v>20</v>
      </c>
      <c r="E38" s="29"/>
      <c r="F38" s="30"/>
      <c r="G38" s="39"/>
      <c r="H38" s="39"/>
    </row>
    <row r="39" s="0" customFormat="1" ht="98">
      <c r="A39" s="15" t="s">
        <v>85</v>
      </c>
      <c r="B39" s="34" t="s">
        <v>86</v>
      </c>
      <c r="C39" s="28" t="s">
        <v>65</v>
      </c>
      <c r="D39" s="28">
        <v>2</v>
      </c>
      <c r="E39" s="29"/>
      <c r="F39" s="30"/>
      <c r="G39" s="40"/>
      <c r="H39" s="41">
        <v>189050</v>
      </c>
    </row>
    <row r="40" s="0" customFormat="1" ht="98">
      <c r="A40" s="15" t="s">
        <v>87</v>
      </c>
      <c r="B40" s="42" t="s">
        <v>88</v>
      </c>
      <c r="C40" s="15" t="s">
        <v>65</v>
      </c>
      <c r="D40" s="15" t="s">
        <v>20</v>
      </c>
      <c r="E40" s="29"/>
      <c r="F40" s="30"/>
      <c r="G40" s="31"/>
      <c r="H40" s="31" t="s">
        <v>89</v>
      </c>
    </row>
    <row r="41" s="0" customFormat="1" ht="84">
      <c r="A41" s="15" t="s">
        <v>90</v>
      </c>
      <c r="B41" s="43" t="s">
        <v>91</v>
      </c>
      <c r="C41" s="35" t="s">
        <v>65</v>
      </c>
      <c r="D41" s="18" t="s">
        <v>92</v>
      </c>
      <c r="E41" s="29"/>
      <c r="F41" s="30"/>
      <c r="G41" s="33"/>
      <c r="H41" s="33"/>
    </row>
    <row r="42" s="0" customFormat="1" ht="28">
      <c r="A42" s="15" t="s">
        <v>93</v>
      </c>
      <c r="B42" s="43" t="s">
        <v>94</v>
      </c>
      <c r="C42" s="35" t="s">
        <v>65</v>
      </c>
      <c r="D42" s="18" t="s">
        <v>92</v>
      </c>
      <c r="E42" s="29"/>
      <c r="F42" s="30"/>
      <c r="G42" s="33"/>
      <c r="H42" s="33"/>
    </row>
    <row r="43" s="0" customFormat="1" ht="14">
      <c r="A43" s="15" t="s">
        <v>95</v>
      </c>
      <c r="B43" s="34" t="s">
        <v>96</v>
      </c>
      <c r="C43" s="35" t="s">
        <v>65</v>
      </c>
      <c r="D43" s="18" t="s">
        <v>20</v>
      </c>
      <c r="E43" s="29"/>
      <c r="F43" s="30"/>
      <c r="G43" s="39"/>
      <c r="H43" s="39"/>
    </row>
    <row r="44" s="0" customFormat="1" ht="42">
      <c r="A44" s="37" t="s">
        <v>97</v>
      </c>
      <c r="B44" s="44" t="s">
        <v>98</v>
      </c>
      <c r="C44" s="28" t="s">
        <v>65</v>
      </c>
      <c r="D44" s="28">
        <v>14</v>
      </c>
      <c r="E44" s="29"/>
      <c r="F44" s="30"/>
      <c r="G44" s="40"/>
      <c r="H44" s="41" t="s">
        <v>99</v>
      </c>
    </row>
    <row r="45" s="0" customFormat="1" ht="28">
      <c r="A45" s="15" t="s">
        <v>100</v>
      </c>
      <c r="B45" s="44" t="s">
        <v>101</v>
      </c>
      <c r="C45" s="38" t="s">
        <v>65</v>
      </c>
      <c r="D45" s="38" t="s">
        <v>102</v>
      </c>
      <c r="E45" s="29"/>
      <c r="F45" s="30"/>
      <c r="G45" s="40"/>
      <c r="H45" s="41">
        <v>37810</v>
      </c>
    </row>
    <row r="46" s="0" customFormat="1" ht="56">
      <c r="A46" s="15" t="s">
        <v>103</v>
      </c>
      <c r="B46" s="34" t="s">
        <v>104</v>
      </c>
      <c r="C46" s="35" t="s">
        <v>65</v>
      </c>
      <c r="D46" s="35" t="s">
        <v>20</v>
      </c>
      <c r="E46" s="29"/>
      <c r="F46" s="30"/>
      <c r="G46" s="40"/>
      <c r="H46" s="41" t="s">
        <v>89</v>
      </c>
    </row>
    <row r="47" s="0" customFormat="1" ht="42">
      <c r="A47" s="15" t="s">
        <v>105</v>
      </c>
      <c r="B47" s="16" t="s">
        <v>106</v>
      </c>
      <c r="C47" s="35" t="s">
        <v>65</v>
      </c>
      <c r="D47" s="35" t="s">
        <v>20</v>
      </c>
      <c r="E47" s="29"/>
      <c r="F47" s="30"/>
      <c r="G47" s="40"/>
      <c r="H47" s="41">
        <v>189050</v>
      </c>
    </row>
    <row r="48" s="0" customFormat="1" ht="70">
      <c r="A48" s="15" t="s">
        <v>107</v>
      </c>
      <c r="B48" s="45" t="s">
        <v>108</v>
      </c>
      <c r="C48" s="35" t="s">
        <v>65</v>
      </c>
      <c r="D48" s="18" t="s">
        <v>20</v>
      </c>
      <c r="E48" s="29"/>
      <c r="F48" s="30"/>
      <c r="G48" s="40"/>
      <c r="H48" s="41">
        <v>283575</v>
      </c>
    </row>
    <row r="49" s="0" customFormat="1" ht="14">
      <c r="A49" s="46"/>
      <c r="B49" s="47" t="s">
        <v>109</v>
      </c>
      <c r="C49" s="48"/>
      <c r="D49" s="49"/>
      <c r="E49" s="50"/>
      <c r="F49" s="49"/>
      <c r="G49" s="50"/>
      <c r="H49" s="51">
        <f>SUM(H28:H48)</f>
        <v>2779035</v>
      </c>
    </row>
    <row r="50" s="0" customFormat="1" ht="182">
      <c r="A50" s="15" t="s">
        <v>110</v>
      </c>
      <c r="B50" s="52" t="s">
        <v>111</v>
      </c>
      <c r="C50" s="28" t="s">
        <v>19</v>
      </c>
      <c r="D50" s="28">
        <v>2</v>
      </c>
      <c r="E50" s="53"/>
      <c r="F50" s="54"/>
      <c r="G50" s="41"/>
      <c r="H50" s="41">
        <v>378100</v>
      </c>
    </row>
    <row r="51" s="0" customFormat="1" ht="14">
      <c r="A51" s="46"/>
      <c r="B51" s="47" t="s">
        <v>112</v>
      </c>
      <c r="C51" s="55"/>
      <c r="D51" s="55"/>
      <c r="E51" s="55"/>
      <c r="F51" s="56"/>
      <c r="G51" s="55"/>
      <c r="H51" s="57"/>
    </row>
    <row r="52" s="0" customFormat="1" ht="56">
      <c r="A52" s="58" t="s">
        <v>113</v>
      </c>
      <c r="B52" s="59" t="s">
        <v>114</v>
      </c>
      <c r="C52" s="28" t="s">
        <v>65</v>
      </c>
      <c r="D52" s="20">
        <v>1</v>
      </c>
      <c r="E52" s="29"/>
      <c r="F52" s="30"/>
      <c r="G52" s="40"/>
      <c r="H52" s="31">
        <v>567150</v>
      </c>
      <c r="I52" s="1"/>
    </row>
    <row r="53" ht="84">
      <c r="A53" s="15" t="s">
        <v>115</v>
      </c>
      <c r="B53" s="16" t="s">
        <v>116</v>
      </c>
      <c r="C53" s="38" t="s">
        <v>65</v>
      </c>
      <c r="D53" s="15" t="s">
        <v>117</v>
      </c>
      <c r="E53" s="60"/>
      <c r="F53" s="30"/>
      <c r="G53" s="40"/>
      <c r="H53" s="33"/>
    </row>
    <row r="54" ht="84">
      <c r="A54" s="15" t="s">
        <v>118</v>
      </c>
      <c r="B54" s="16" t="s">
        <v>119</v>
      </c>
      <c r="C54" s="38" t="s">
        <v>65</v>
      </c>
      <c r="D54" s="15" t="s">
        <v>117</v>
      </c>
      <c r="E54" s="60"/>
      <c r="F54" s="30"/>
      <c r="G54" s="40"/>
      <c r="H54" s="33"/>
    </row>
    <row r="55" ht="42">
      <c r="A55" s="15" t="s">
        <v>120</v>
      </c>
      <c r="B55" s="16" t="s">
        <v>121</v>
      </c>
      <c r="C55" s="38" t="s">
        <v>65</v>
      </c>
      <c r="D55" s="61" t="s">
        <v>117</v>
      </c>
      <c r="E55" s="60"/>
      <c r="F55" s="30"/>
      <c r="G55" s="40"/>
      <c r="H55" s="33"/>
    </row>
    <row r="56" ht="28">
      <c r="A56" s="15" t="s">
        <v>122</v>
      </c>
      <c r="B56" s="16" t="s">
        <v>123</v>
      </c>
      <c r="C56" s="38" t="s">
        <v>65</v>
      </c>
      <c r="D56" s="15" t="s">
        <v>117</v>
      </c>
      <c r="E56" s="60"/>
      <c r="F56" s="30"/>
      <c r="G56" s="40"/>
      <c r="H56" s="33"/>
    </row>
    <row r="57" ht="28">
      <c r="A57" s="15" t="s">
        <v>124</v>
      </c>
      <c r="B57" s="16" t="s">
        <v>125</v>
      </c>
      <c r="C57" s="38" t="s">
        <v>65</v>
      </c>
      <c r="D57" s="61" t="s">
        <v>126</v>
      </c>
      <c r="E57" s="60"/>
      <c r="F57" s="30"/>
      <c r="G57" s="40"/>
      <c r="H57" s="33"/>
    </row>
    <row r="58" ht="28">
      <c r="A58" s="15" t="s">
        <v>127</v>
      </c>
      <c r="B58" s="16" t="s">
        <v>128</v>
      </c>
      <c r="C58" s="38" t="s">
        <v>65</v>
      </c>
      <c r="D58" s="61" t="s">
        <v>117</v>
      </c>
      <c r="E58" s="60"/>
      <c r="F58" s="30"/>
      <c r="G58" s="40"/>
      <c r="H58" s="33"/>
    </row>
    <row r="59" ht="42">
      <c r="A59" s="15" t="s">
        <v>129</v>
      </c>
      <c r="B59" s="16" t="s">
        <v>130</v>
      </c>
      <c r="C59" s="38" t="s">
        <v>65</v>
      </c>
      <c r="D59" s="61" t="s">
        <v>131</v>
      </c>
      <c r="E59" s="60"/>
      <c r="F59" s="30"/>
      <c r="G59" s="40"/>
      <c r="H59" s="33"/>
    </row>
    <row r="60" ht="56">
      <c r="A60" s="15" t="s">
        <v>132</v>
      </c>
      <c r="B60" s="16" t="s">
        <v>133</v>
      </c>
      <c r="C60" s="38" t="s">
        <v>65</v>
      </c>
      <c r="D60" s="61" t="s">
        <v>131</v>
      </c>
      <c r="E60" s="60"/>
      <c r="F60" s="30"/>
      <c r="G60" s="40"/>
      <c r="H60" s="33"/>
    </row>
    <row r="61" ht="84">
      <c r="A61" s="15" t="s">
        <v>134</v>
      </c>
      <c r="B61" s="16" t="s">
        <v>135</v>
      </c>
      <c r="C61" s="38" t="s">
        <v>65</v>
      </c>
      <c r="D61" s="15" t="s">
        <v>131</v>
      </c>
      <c r="E61" s="60"/>
      <c r="F61" s="30"/>
      <c r="G61" s="40"/>
      <c r="H61" s="33"/>
    </row>
    <row r="62" ht="34" customHeight="1">
      <c r="A62" s="15" t="s">
        <v>136</v>
      </c>
      <c r="B62" s="19" t="s">
        <v>137</v>
      </c>
      <c r="C62" s="15" t="s">
        <v>82</v>
      </c>
      <c r="D62" s="15" t="s">
        <v>131</v>
      </c>
      <c r="E62" s="60"/>
      <c r="F62" s="30"/>
      <c r="G62" s="40"/>
      <c r="H62" s="33"/>
    </row>
    <row r="63" ht="28">
      <c r="A63" s="15" t="s">
        <v>138</v>
      </c>
      <c r="B63" s="62" t="s">
        <v>139</v>
      </c>
      <c r="C63" s="15" t="s">
        <v>65</v>
      </c>
      <c r="D63" s="15" t="s">
        <v>131</v>
      </c>
      <c r="E63" s="60"/>
      <c r="F63" s="30"/>
      <c r="G63" s="40"/>
      <c r="H63" s="33"/>
    </row>
    <row r="64" ht="70">
      <c r="A64" s="15" t="s">
        <v>140</v>
      </c>
      <c r="B64" s="16" t="s">
        <v>141</v>
      </c>
      <c r="C64" s="28" t="s">
        <v>65</v>
      </c>
      <c r="D64" s="20">
        <v>1</v>
      </c>
      <c r="E64" s="60"/>
      <c r="F64" s="30"/>
      <c r="G64" s="40"/>
      <c r="H64" s="41">
        <v>141787.5</v>
      </c>
    </row>
    <row r="65" ht="42">
      <c r="A65" s="15" t="s">
        <v>142</v>
      </c>
      <c r="B65" s="16" t="s">
        <v>143</v>
      </c>
      <c r="C65" s="38" t="s">
        <v>65</v>
      </c>
      <c r="D65" s="15" t="s">
        <v>117</v>
      </c>
      <c r="E65" s="60"/>
      <c r="F65" s="30"/>
      <c r="G65" s="40"/>
      <c r="H65" s="31" t="s">
        <v>89</v>
      </c>
    </row>
    <row r="66" ht="70">
      <c r="A66" s="15" t="s">
        <v>144</v>
      </c>
      <c r="B66" s="16" t="s">
        <v>145</v>
      </c>
      <c r="C66" s="38" t="s">
        <v>65</v>
      </c>
      <c r="D66" s="61" t="s">
        <v>131</v>
      </c>
      <c r="E66" s="60"/>
      <c r="F66" s="30"/>
      <c r="G66" s="40"/>
      <c r="H66" s="33"/>
    </row>
    <row r="67" ht="84">
      <c r="A67" s="15" t="s">
        <v>146</v>
      </c>
      <c r="B67" s="16" t="s">
        <v>147</v>
      </c>
      <c r="C67" s="38" t="s">
        <v>65</v>
      </c>
      <c r="D67" s="61" t="s">
        <v>20</v>
      </c>
      <c r="E67" s="60"/>
      <c r="F67" s="30"/>
      <c r="G67" s="40"/>
      <c r="H67" s="33"/>
    </row>
    <row r="68" ht="48.649999999999999" customHeight="1">
      <c r="A68" s="15" t="s">
        <v>148</v>
      </c>
      <c r="B68" s="63" t="s">
        <v>149</v>
      </c>
      <c r="C68" s="38" t="s">
        <v>65</v>
      </c>
      <c r="D68" s="15" t="s">
        <v>131</v>
      </c>
      <c r="E68" s="60"/>
      <c r="F68" s="30"/>
      <c r="G68" s="40"/>
      <c r="H68" s="33"/>
    </row>
    <row r="69" ht="28">
      <c r="A69" s="64" t="s">
        <v>150</v>
      </c>
      <c r="B69" s="16" t="s">
        <v>151</v>
      </c>
      <c r="C69" s="65" t="s">
        <v>65</v>
      </c>
      <c r="D69" s="66">
        <v>1</v>
      </c>
      <c r="E69" s="60"/>
      <c r="F69" s="30"/>
      <c r="G69" s="40"/>
      <c r="H69" s="33"/>
    </row>
    <row r="70" ht="56">
      <c r="A70" s="67" t="s">
        <v>152</v>
      </c>
      <c r="B70" s="68" t="s">
        <v>153</v>
      </c>
      <c r="C70" s="28" t="s">
        <v>65</v>
      </c>
      <c r="D70" s="20">
        <v>1</v>
      </c>
      <c r="E70" s="60"/>
      <c r="F70" s="30"/>
      <c r="G70" s="40"/>
      <c r="H70" s="39"/>
    </row>
    <row r="71" ht="28">
      <c r="A71" s="15" t="s">
        <v>154</v>
      </c>
      <c r="B71" s="59" t="s">
        <v>155</v>
      </c>
      <c r="C71" s="38" t="s">
        <v>65</v>
      </c>
      <c r="D71" s="15" t="s">
        <v>131</v>
      </c>
      <c r="E71" s="60"/>
      <c r="F71" s="30"/>
      <c r="G71" s="40"/>
      <c r="H71" s="41">
        <v>94525</v>
      </c>
    </row>
    <row r="72" ht="28">
      <c r="A72" s="15" t="s">
        <v>156</v>
      </c>
      <c r="B72" s="59" t="s">
        <v>157</v>
      </c>
      <c r="C72" s="38" t="s">
        <v>65</v>
      </c>
      <c r="D72" s="15" t="s">
        <v>131</v>
      </c>
      <c r="E72" s="60"/>
      <c r="F72" s="30"/>
      <c r="G72" s="40"/>
      <c r="H72" s="41">
        <v>189050</v>
      </c>
    </row>
    <row r="73" ht="140">
      <c r="A73" s="15" t="s">
        <v>158</v>
      </c>
      <c r="B73" s="59" t="s">
        <v>159</v>
      </c>
      <c r="C73" s="15" t="s">
        <v>82</v>
      </c>
      <c r="D73" s="15" t="s">
        <v>131</v>
      </c>
      <c r="E73" s="60"/>
      <c r="F73" s="30"/>
      <c r="G73" s="40"/>
      <c r="H73" s="41">
        <v>12019.299999999999</v>
      </c>
    </row>
    <row r="74" ht="70">
      <c r="A74" s="15" t="s">
        <v>160</v>
      </c>
      <c r="B74" s="16" t="s">
        <v>161</v>
      </c>
      <c r="C74" s="38" t="s">
        <v>65</v>
      </c>
      <c r="D74" s="15" t="s">
        <v>131</v>
      </c>
      <c r="E74" s="60"/>
      <c r="F74" s="30"/>
      <c r="G74" s="40"/>
      <c r="H74" s="41">
        <v>141787.5</v>
      </c>
    </row>
    <row r="75" ht="42">
      <c r="A75" s="15" t="s">
        <v>162</v>
      </c>
      <c r="B75" s="16" t="s">
        <v>143</v>
      </c>
      <c r="C75" s="38" t="s">
        <v>65</v>
      </c>
      <c r="D75" s="15" t="s">
        <v>117</v>
      </c>
      <c r="E75" s="60"/>
      <c r="F75" s="30"/>
      <c r="G75" s="40"/>
      <c r="H75" s="41">
        <v>28357.5</v>
      </c>
    </row>
    <row r="76" ht="28">
      <c r="A76" s="15" t="s">
        <v>163</v>
      </c>
      <c r="B76" s="59" t="s">
        <v>164</v>
      </c>
      <c r="C76" s="38" t="s">
        <v>65</v>
      </c>
      <c r="D76" s="15" t="s">
        <v>131</v>
      </c>
      <c r="E76" s="60"/>
      <c r="F76" s="30"/>
      <c r="G76" s="40"/>
      <c r="H76" s="41">
        <v>94525</v>
      </c>
    </row>
    <row r="77" ht="14">
      <c r="A77" s="46" t="s">
        <v>165</v>
      </c>
      <c r="B77" s="69" t="s">
        <v>166</v>
      </c>
      <c r="C77" s="70"/>
      <c r="D77" s="71"/>
      <c r="E77" s="72"/>
      <c r="F77" s="73"/>
      <c r="G77" s="72"/>
      <c r="H77" s="74"/>
    </row>
    <row r="78" ht="56">
      <c r="A78" s="15" t="s">
        <v>167</v>
      </c>
      <c r="B78" s="27" t="s">
        <v>168</v>
      </c>
      <c r="C78" s="28" t="s">
        <v>65</v>
      </c>
      <c r="D78" s="75">
        <v>2</v>
      </c>
      <c r="E78" s="60"/>
      <c r="F78" s="30"/>
      <c r="G78" s="40"/>
      <c r="H78" s="41">
        <v>37810</v>
      </c>
    </row>
    <row r="79" ht="14">
      <c r="A79" s="46"/>
      <c r="B79" s="76" t="s">
        <v>169</v>
      </c>
      <c r="C79" s="72"/>
      <c r="D79" s="72"/>
      <c r="E79" s="72"/>
      <c r="F79" s="73"/>
      <c r="G79" s="72"/>
      <c r="H79" s="74"/>
    </row>
    <row r="80" ht="70">
      <c r="A80" s="15" t="s">
        <v>170</v>
      </c>
      <c r="B80" s="27" t="s">
        <v>171</v>
      </c>
      <c r="C80" s="75" t="s">
        <v>65</v>
      </c>
      <c r="D80" s="75">
        <v>2</v>
      </c>
      <c r="E80" s="29"/>
      <c r="F80" s="54"/>
      <c r="G80" s="41"/>
      <c r="H80" s="31">
        <v>415910</v>
      </c>
    </row>
    <row r="81" ht="70">
      <c r="A81" s="15" t="s">
        <v>172</v>
      </c>
      <c r="B81" s="27" t="s">
        <v>173</v>
      </c>
      <c r="C81" s="75" t="s">
        <v>65</v>
      </c>
      <c r="D81" s="75">
        <v>2</v>
      </c>
      <c r="E81" s="29"/>
      <c r="F81" s="54"/>
      <c r="G81" s="41"/>
      <c r="H81" s="33"/>
    </row>
    <row r="82" ht="42">
      <c r="A82" s="15" t="s">
        <v>174</v>
      </c>
      <c r="B82" s="27" t="s">
        <v>175</v>
      </c>
      <c r="C82" s="77" t="s">
        <v>65</v>
      </c>
      <c r="D82" s="28">
        <v>4</v>
      </c>
      <c r="E82" s="29"/>
      <c r="F82" s="54"/>
      <c r="G82" s="41"/>
      <c r="H82" s="39"/>
    </row>
    <row r="83" ht="42">
      <c r="A83" s="15" t="s">
        <v>176</v>
      </c>
      <c r="B83" s="78" t="s">
        <v>177</v>
      </c>
      <c r="C83" s="77" t="s">
        <v>65</v>
      </c>
      <c r="D83" s="28">
        <v>4</v>
      </c>
      <c r="E83" s="29"/>
      <c r="F83" s="54"/>
      <c r="G83" s="41"/>
      <c r="H83" s="41">
        <v>18905</v>
      </c>
    </row>
    <row r="84" ht="14">
      <c r="A84" s="46"/>
      <c r="B84" s="76" t="s">
        <v>178</v>
      </c>
      <c r="C84" s="72"/>
      <c r="D84" s="72"/>
      <c r="E84" s="72"/>
      <c r="F84" s="73"/>
      <c r="G84" s="72"/>
      <c r="H84" s="74"/>
    </row>
    <row r="85" ht="56">
      <c r="A85" s="15" t="s">
        <v>179</v>
      </c>
      <c r="B85" s="27" t="s">
        <v>180</v>
      </c>
      <c r="C85" s="77" t="s">
        <v>19</v>
      </c>
      <c r="D85" s="28">
        <v>3</v>
      </c>
      <c r="E85" s="29"/>
      <c r="F85" s="54"/>
      <c r="G85" s="41"/>
      <c r="H85" s="41">
        <v>87908.25</v>
      </c>
    </row>
    <row r="86" ht="56">
      <c r="A86" s="15" t="s">
        <v>181</v>
      </c>
      <c r="B86" s="27" t="s">
        <v>182</v>
      </c>
      <c r="C86" s="77" t="s">
        <v>65</v>
      </c>
      <c r="D86" s="28">
        <v>1</v>
      </c>
      <c r="E86" s="29"/>
      <c r="F86" s="54"/>
      <c r="G86" s="41"/>
      <c r="H86" s="41">
        <v>17959.75</v>
      </c>
    </row>
    <row r="87" ht="56">
      <c r="A87" s="15" t="s">
        <v>183</v>
      </c>
      <c r="B87" s="27" t="s">
        <v>184</v>
      </c>
      <c r="C87" s="77" t="s">
        <v>65</v>
      </c>
      <c r="D87" s="28">
        <v>1</v>
      </c>
      <c r="E87" s="29"/>
      <c r="F87" s="54"/>
      <c r="G87" s="41"/>
      <c r="H87" s="41">
        <v>24576.5</v>
      </c>
    </row>
    <row r="88" ht="70">
      <c r="A88" s="15" t="s">
        <v>185</v>
      </c>
      <c r="B88" s="45" t="s">
        <v>186</v>
      </c>
      <c r="C88" s="77" t="s">
        <v>65</v>
      </c>
      <c r="D88" s="20">
        <v>5</v>
      </c>
      <c r="E88" s="29"/>
      <c r="F88" s="54"/>
      <c r="G88" s="41"/>
      <c r="H88" s="41">
        <v>101378.06</v>
      </c>
    </row>
    <row r="89" ht="70">
      <c r="A89" s="15" t="s">
        <v>187</v>
      </c>
      <c r="B89" s="45" t="s">
        <v>188</v>
      </c>
      <c r="C89" s="77" t="s">
        <v>65</v>
      </c>
      <c r="D89" s="79">
        <v>5</v>
      </c>
      <c r="E89" s="29"/>
      <c r="F89" s="54"/>
      <c r="G89" s="41"/>
      <c r="H89" s="41">
        <v>101378.06</v>
      </c>
    </row>
    <row r="90" ht="70">
      <c r="A90" s="15" t="s">
        <v>189</v>
      </c>
      <c r="B90" s="45" t="s">
        <v>190</v>
      </c>
      <c r="C90" s="77" t="s">
        <v>65</v>
      </c>
      <c r="D90" s="79">
        <v>5</v>
      </c>
      <c r="E90" s="29"/>
      <c r="F90" s="54"/>
      <c r="G90" s="41"/>
      <c r="H90" s="41">
        <v>93390.699999999997</v>
      </c>
    </row>
    <row r="91" ht="70">
      <c r="A91" s="15" t="s">
        <v>191</v>
      </c>
      <c r="B91" s="45" t="s">
        <v>192</v>
      </c>
      <c r="C91" s="77" t="s">
        <v>65</v>
      </c>
      <c r="D91" s="79">
        <v>4</v>
      </c>
      <c r="E91" s="29"/>
      <c r="F91" s="54"/>
      <c r="G91" s="41"/>
      <c r="H91" s="41">
        <v>61932.779999999999</v>
      </c>
    </row>
    <row r="92" ht="70">
      <c r="A92" s="15" t="s">
        <v>193</v>
      </c>
      <c r="B92" s="45" t="s">
        <v>194</v>
      </c>
      <c r="C92" s="77" t="s">
        <v>65</v>
      </c>
      <c r="D92" s="79">
        <v>6</v>
      </c>
      <c r="E92" s="29"/>
      <c r="F92" s="54"/>
      <c r="G92" s="41"/>
      <c r="H92" s="41">
        <v>89065.240000000005</v>
      </c>
    </row>
    <row r="93" ht="14">
      <c r="A93" s="46"/>
      <c r="B93" s="76" t="s">
        <v>195</v>
      </c>
      <c r="C93" s="72"/>
      <c r="D93" s="72"/>
      <c r="E93" s="72"/>
      <c r="F93" s="73"/>
      <c r="G93" s="72"/>
      <c r="H93" s="74"/>
    </row>
    <row r="94" ht="56">
      <c r="A94" s="15" t="s">
        <v>196</v>
      </c>
      <c r="B94" s="27" t="s">
        <v>197</v>
      </c>
      <c r="C94" s="28" t="s">
        <v>65</v>
      </c>
      <c r="D94" s="75">
        <v>2</v>
      </c>
      <c r="E94" s="80"/>
      <c r="F94" s="80"/>
      <c r="G94" s="81"/>
      <c r="H94" s="81">
        <v>79401</v>
      </c>
    </row>
    <row r="95" ht="56">
      <c r="A95" s="15" t="s">
        <v>198</v>
      </c>
      <c r="B95" s="78" t="s">
        <v>199</v>
      </c>
      <c r="C95" s="28" t="s">
        <v>65</v>
      </c>
      <c r="D95" s="75">
        <v>1</v>
      </c>
      <c r="E95" s="80"/>
      <c r="F95" s="82"/>
      <c r="G95" s="81"/>
      <c r="H95" s="81">
        <v>34407.099999999999</v>
      </c>
    </row>
    <row r="96" ht="56">
      <c r="A96" s="15" t="s">
        <v>200</v>
      </c>
      <c r="B96" s="78" t="s">
        <v>201</v>
      </c>
      <c r="C96" s="28" t="s">
        <v>65</v>
      </c>
      <c r="D96" s="75">
        <v>1</v>
      </c>
      <c r="E96" s="80"/>
      <c r="F96" s="82"/>
      <c r="G96" s="81"/>
      <c r="H96" s="81">
        <v>34407.099999999999</v>
      </c>
    </row>
    <row r="97" ht="42">
      <c r="A97" s="15" t="s">
        <v>202</v>
      </c>
      <c r="B97" s="78" t="s">
        <v>203</v>
      </c>
      <c r="C97" s="28" t="s">
        <v>65</v>
      </c>
      <c r="D97" s="75">
        <v>1</v>
      </c>
      <c r="E97" s="80"/>
      <c r="F97" s="82"/>
      <c r="G97" s="81"/>
      <c r="H97" s="81">
        <v>36392.129999999997</v>
      </c>
    </row>
    <row r="98" ht="70">
      <c r="A98" s="15" t="s">
        <v>204</v>
      </c>
      <c r="B98" s="78" t="s">
        <v>205</v>
      </c>
      <c r="C98" s="28" t="s">
        <v>65</v>
      </c>
      <c r="D98" s="75">
        <v>1</v>
      </c>
      <c r="E98" s="80"/>
      <c r="F98" s="82"/>
      <c r="G98" s="81"/>
      <c r="H98" s="81">
        <v>25143.650000000001</v>
      </c>
    </row>
    <row r="99" ht="56">
      <c r="A99" s="15" t="s">
        <v>206</v>
      </c>
      <c r="B99" s="78" t="s">
        <v>207</v>
      </c>
      <c r="C99" s="28" t="s">
        <v>65</v>
      </c>
      <c r="D99" s="75">
        <v>1</v>
      </c>
      <c r="E99" s="80"/>
      <c r="F99" s="82"/>
      <c r="G99" s="81"/>
      <c r="H99" s="81">
        <v>34407.099999999999</v>
      </c>
    </row>
    <row r="100" ht="56">
      <c r="A100" s="15" t="s">
        <v>208</v>
      </c>
      <c r="B100" s="78" t="s">
        <v>209</v>
      </c>
      <c r="C100" s="28" t="s">
        <v>65</v>
      </c>
      <c r="D100" s="75">
        <v>1</v>
      </c>
      <c r="E100" s="80"/>
      <c r="F100" s="82"/>
      <c r="G100" s="81"/>
      <c r="H100" s="81">
        <v>34407.099999999999</v>
      </c>
    </row>
    <row r="101" ht="56">
      <c r="A101" s="15" t="s">
        <v>210</v>
      </c>
      <c r="B101" s="78" t="s">
        <v>211</v>
      </c>
      <c r="C101" s="28" t="s">
        <v>65</v>
      </c>
      <c r="D101" s="75">
        <v>1</v>
      </c>
      <c r="E101" s="80"/>
      <c r="F101" s="82"/>
      <c r="G101" s="81"/>
      <c r="H101" s="81">
        <v>34407.099999999999</v>
      </c>
    </row>
    <row r="102" ht="56">
      <c r="A102" s="15" t="s">
        <v>212</v>
      </c>
      <c r="B102" s="78" t="s">
        <v>213</v>
      </c>
      <c r="C102" s="28" t="s">
        <v>65</v>
      </c>
      <c r="D102" s="75">
        <v>1</v>
      </c>
      <c r="E102" s="80"/>
      <c r="F102" s="82"/>
      <c r="G102" s="81"/>
      <c r="H102" s="81">
        <v>46317.25</v>
      </c>
    </row>
    <row r="103" ht="42">
      <c r="A103" s="15" t="s">
        <v>214</v>
      </c>
      <c r="B103" s="78" t="s">
        <v>215</v>
      </c>
      <c r="C103" s="28" t="s">
        <v>65</v>
      </c>
      <c r="D103" s="75">
        <v>1</v>
      </c>
      <c r="E103" s="80"/>
      <c r="F103" s="82"/>
      <c r="G103" s="81"/>
      <c r="H103" s="81">
        <v>113430</v>
      </c>
    </row>
    <row r="104" ht="56">
      <c r="A104" s="15" t="s">
        <v>216</v>
      </c>
      <c r="B104" s="78" t="s">
        <v>217</v>
      </c>
      <c r="C104" s="28" t="s">
        <v>65</v>
      </c>
      <c r="D104" s="75">
        <v>1</v>
      </c>
      <c r="E104" s="80"/>
      <c r="F104" s="82"/>
      <c r="G104" s="81"/>
      <c r="H104" s="81">
        <v>46317.25</v>
      </c>
    </row>
    <row r="105" ht="56">
      <c r="A105" s="15" t="s">
        <v>218</v>
      </c>
      <c r="B105" s="78" t="s">
        <v>219</v>
      </c>
      <c r="C105" s="28" t="s">
        <v>65</v>
      </c>
      <c r="D105" s="29">
        <v>2</v>
      </c>
      <c r="E105" s="80"/>
      <c r="F105" s="82"/>
      <c r="G105" s="81"/>
      <c r="H105" s="81">
        <v>68814.199999999997</v>
      </c>
    </row>
    <row r="106" ht="14">
      <c r="A106" s="83"/>
      <c r="B106" s="84" t="s">
        <v>220</v>
      </c>
      <c r="C106" s="71"/>
      <c r="D106" s="49"/>
      <c r="E106" s="85"/>
      <c r="F106" s="86"/>
      <c r="G106" s="87"/>
      <c r="H106" s="87"/>
    </row>
    <row r="107" ht="70">
      <c r="A107" s="15" t="s">
        <v>221</v>
      </c>
      <c r="B107" s="78" t="s">
        <v>222</v>
      </c>
      <c r="C107" s="28" t="s">
        <v>65</v>
      </c>
      <c r="D107" s="75">
        <v>2</v>
      </c>
      <c r="E107" s="88"/>
      <c r="F107" s="82"/>
      <c r="G107" s="81"/>
      <c r="H107" s="81">
        <v>17770.700000000001</v>
      </c>
    </row>
    <row r="108" ht="28">
      <c r="A108" s="15" t="s">
        <v>223</v>
      </c>
      <c r="B108" s="89" t="s">
        <v>224</v>
      </c>
      <c r="C108" s="20" t="s">
        <v>65</v>
      </c>
      <c r="D108" s="29">
        <v>2</v>
      </c>
      <c r="E108" s="90"/>
      <c r="F108" s="82"/>
      <c r="G108" s="81"/>
      <c r="H108" s="81">
        <v>12000</v>
      </c>
    </row>
    <row r="109" ht="70">
      <c r="A109" s="15" t="s">
        <v>225</v>
      </c>
      <c r="B109" s="78" t="s">
        <v>226</v>
      </c>
      <c r="C109" s="28" t="s">
        <v>65</v>
      </c>
      <c r="D109" s="75">
        <v>2</v>
      </c>
      <c r="E109" s="88"/>
      <c r="F109" s="82"/>
      <c r="G109" s="81"/>
      <c r="H109" s="81">
        <v>88475.399999999994</v>
      </c>
    </row>
    <row r="110" ht="28">
      <c r="A110" s="15" t="s">
        <v>227</v>
      </c>
      <c r="B110" s="78" t="s">
        <v>228</v>
      </c>
      <c r="C110" s="28" t="s">
        <v>19</v>
      </c>
      <c r="D110" s="75">
        <v>1</v>
      </c>
      <c r="E110" s="88"/>
      <c r="F110" s="82"/>
      <c r="G110" s="81"/>
      <c r="H110" s="81">
        <v>15000</v>
      </c>
    </row>
    <row r="111" ht="70">
      <c r="A111" s="15" t="s">
        <v>229</v>
      </c>
      <c r="B111" s="89" t="s">
        <v>230</v>
      </c>
      <c r="C111" s="20" t="s">
        <v>65</v>
      </c>
      <c r="D111" s="29">
        <v>8</v>
      </c>
      <c r="E111" s="90"/>
      <c r="F111" s="82"/>
      <c r="G111" s="81"/>
      <c r="H111" s="81">
        <v>71082.800000000003</v>
      </c>
    </row>
    <row r="112" ht="70">
      <c r="A112" s="15" t="s">
        <v>231</v>
      </c>
      <c r="B112" s="78" t="s">
        <v>232</v>
      </c>
      <c r="C112" s="28" t="s">
        <v>65</v>
      </c>
      <c r="D112" s="75">
        <v>8</v>
      </c>
      <c r="E112" s="88"/>
      <c r="F112" s="82"/>
      <c r="G112" s="81"/>
      <c r="H112" s="81">
        <v>102843.2</v>
      </c>
    </row>
    <row r="113" ht="70">
      <c r="A113" s="15" t="s">
        <v>233</v>
      </c>
      <c r="B113" s="78" t="s">
        <v>234</v>
      </c>
      <c r="C113" s="28" t="s">
        <v>65</v>
      </c>
      <c r="D113" s="75">
        <v>4</v>
      </c>
      <c r="E113" s="88"/>
      <c r="F113" s="82"/>
      <c r="G113" s="81"/>
      <c r="H113" s="81">
        <v>66848.080000000002</v>
      </c>
    </row>
    <row r="114" ht="84">
      <c r="A114" s="15" t="s">
        <v>235</v>
      </c>
      <c r="B114" s="78" t="s">
        <v>236</v>
      </c>
      <c r="C114" s="28" t="s">
        <v>65</v>
      </c>
      <c r="D114" s="75">
        <v>4</v>
      </c>
      <c r="E114" s="88"/>
      <c r="F114" s="82"/>
      <c r="G114" s="81"/>
      <c r="H114" s="81">
        <v>75015.039999999994</v>
      </c>
    </row>
    <row r="115" ht="84">
      <c r="A115" s="15" t="s">
        <v>237</v>
      </c>
      <c r="B115" s="78" t="s">
        <v>238</v>
      </c>
      <c r="C115" s="28" t="s">
        <v>65</v>
      </c>
      <c r="D115" s="75">
        <v>2</v>
      </c>
      <c r="E115" s="88"/>
      <c r="F115" s="82"/>
      <c r="G115" s="81"/>
      <c r="H115" s="81">
        <v>19358.720000000001</v>
      </c>
    </row>
    <row r="116" ht="84">
      <c r="A116" s="15" t="s">
        <v>239</v>
      </c>
      <c r="B116" s="78" t="s">
        <v>240</v>
      </c>
      <c r="C116" s="28" t="s">
        <v>65</v>
      </c>
      <c r="D116" s="75">
        <v>2</v>
      </c>
      <c r="E116" s="88"/>
      <c r="F116" s="82"/>
      <c r="G116" s="81"/>
      <c r="H116" s="81">
        <v>13157.879999999999</v>
      </c>
    </row>
    <row r="117" ht="84">
      <c r="A117" s="15" t="s">
        <v>241</v>
      </c>
      <c r="B117" s="78" t="s">
        <v>242</v>
      </c>
      <c r="C117" s="28" t="s">
        <v>65</v>
      </c>
      <c r="D117" s="75">
        <v>4</v>
      </c>
      <c r="E117" s="88"/>
      <c r="F117" s="82"/>
      <c r="G117" s="81"/>
      <c r="H117" s="81">
        <v>32894.699999999997</v>
      </c>
    </row>
    <row r="118" ht="70">
      <c r="A118" s="15" t="s">
        <v>243</v>
      </c>
      <c r="B118" s="78" t="s">
        <v>244</v>
      </c>
      <c r="C118" s="28" t="s">
        <v>65</v>
      </c>
      <c r="D118" s="75">
        <v>2</v>
      </c>
      <c r="E118" s="88"/>
      <c r="F118" s="82"/>
      <c r="G118" s="81"/>
      <c r="H118" s="81">
        <v>12099.200000000001</v>
      </c>
    </row>
    <row r="119" ht="70">
      <c r="A119" s="15" t="s">
        <v>245</v>
      </c>
      <c r="B119" s="78" t="s">
        <v>246</v>
      </c>
      <c r="C119" s="28" t="s">
        <v>65</v>
      </c>
      <c r="D119" s="75">
        <v>8</v>
      </c>
      <c r="E119" s="88"/>
      <c r="F119" s="82"/>
      <c r="G119" s="81"/>
      <c r="H119" s="81">
        <v>48396.800000000003</v>
      </c>
    </row>
    <row r="120" ht="28">
      <c r="A120" s="15" t="s">
        <v>247</v>
      </c>
      <c r="B120" s="89" t="s">
        <v>248</v>
      </c>
      <c r="C120" s="20" t="s">
        <v>65</v>
      </c>
      <c r="D120" s="29">
        <v>1</v>
      </c>
      <c r="E120" s="80"/>
      <c r="F120" s="82"/>
      <c r="G120" s="81"/>
      <c r="H120" s="81">
        <v>6000</v>
      </c>
    </row>
    <row r="121" ht="14">
      <c r="A121" s="46"/>
      <c r="B121" s="72" t="s">
        <v>249</v>
      </c>
      <c r="C121" s="72"/>
      <c r="D121" s="72"/>
      <c r="E121" s="72"/>
      <c r="F121" s="73"/>
      <c r="G121" s="72"/>
      <c r="H121" s="74"/>
    </row>
    <row r="122" ht="42">
      <c r="A122" s="15" t="s">
        <v>250</v>
      </c>
      <c r="B122" s="78" t="s">
        <v>251</v>
      </c>
      <c r="C122" s="28" t="s">
        <v>252</v>
      </c>
      <c r="D122" s="75">
        <v>8</v>
      </c>
      <c r="E122" s="91"/>
      <c r="F122" s="92"/>
      <c r="G122" s="91"/>
      <c r="H122" s="93">
        <v>39322.400000000001</v>
      </c>
    </row>
    <row r="123" ht="28">
      <c r="A123" s="15" t="s">
        <v>253</v>
      </c>
      <c r="B123" s="78" t="s">
        <v>254</v>
      </c>
      <c r="C123" s="28" t="s">
        <v>252</v>
      </c>
      <c r="D123" s="75">
        <v>8</v>
      </c>
      <c r="E123" s="91"/>
      <c r="F123" s="92"/>
      <c r="G123" s="91"/>
      <c r="H123" s="93">
        <v>29680.849999999999</v>
      </c>
    </row>
    <row r="124" ht="28">
      <c r="A124" s="15" t="s">
        <v>255</v>
      </c>
      <c r="B124" s="78" t="s">
        <v>256</v>
      </c>
      <c r="C124" s="28" t="s">
        <v>252</v>
      </c>
      <c r="D124" s="75">
        <v>1</v>
      </c>
      <c r="E124" s="91"/>
      <c r="F124" s="92"/>
      <c r="G124" s="91"/>
      <c r="H124" s="93">
        <v>3705.3800000000001</v>
      </c>
    </row>
    <row r="125" ht="28">
      <c r="A125" s="15" t="s">
        <v>257</v>
      </c>
      <c r="B125" s="78" t="s">
        <v>258</v>
      </c>
      <c r="C125" s="28" t="s">
        <v>252</v>
      </c>
      <c r="D125" s="75">
        <v>2</v>
      </c>
      <c r="E125" s="91"/>
      <c r="F125" s="92"/>
      <c r="G125" s="91"/>
      <c r="H125" s="93">
        <v>7420.21</v>
      </c>
    </row>
    <row r="126" ht="28">
      <c r="A126" s="15" t="s">
        <v>259</v>
      </c>
      <c r="B126" s="78" t="s">
        <v>260</v>
      </c>
      <c r="C126" s="28" t="s">
        <v>252</v>
      </c>
      <c r="D126" s="75">
        <v>4</v>
      </c>
      <c r="E126" s="91"/>
      <c r="F126" s="92"/>
      <c r="G126" s="91"/>
      <c r="H126" s="93">
        <v>16910.52</v>
      </c>
    </row>
    <row r="127" ht="28">
      <c r="A127" s="15" t="s">
        <v>261</v>
      </c>
      <c r="B127" s="78" t="s">
        <v>262</v>
      </c>
      <c r="C127" s="28" t="s">
        <v>252</v>
      </c>
      <c r="D127" s="75">
        <v>10</v>
      </c>
      <c r="E127" s="91"/>
      <c r="F127" s="92"/>
      <c r="G127" s="91"/>
      <c r="H127" s="93">
        <v>42271.580000000002</v>
      </c>
    </row>
    <row r="128" ht="28">
      <c r="A128" s="15" t="s">
        <v>263</v>
      </c>
      <c r="B128" s="78" t="s">
        <v>264</v>
      </c>
      <c r="C128" s="28" t="s">
        <v>252</v>
      </c>
      <c r="D128" s="75">
        <v>11</v>
      </c>
      <c r="E128" s="91"/>
      <c r="F128" s="92"/>
      <c r="G128" s="91"/>
      <c r="H128" s="93">
        <v>70232.080000000002</v>
      </c>
    </row>
    <row r="129" ht="28">
      <c r="A129" s="15" t="s">
        <v>265</v>
      </c>
      <c r="B129" s="78" t="s">
        <v>266</v>
      </c>
      <c r="C129" s="28" t="s">
        <v>252</v>
      </c>
      <c r="D129" s="75">
        <v>12</v>
      </c>
      <c r="E129" s="91"/>
      <c r="F129" s="92"/>
      <c r="G129" s="91"/>
      <c r="H129" s="93">
        <v>35021.510000000002</v>
      </c>
    </row>
    <row r="130" ht="42">
      <c r="A130" s="15" t="s">
        <v>267</v>
      </c>
      <c r="B130" s="78" t="s">
        <v>268</v>
      </c>
      <c r="C130" s="28" t="s">
        <v>252</v>
      </c>
      <c r="D130" s="75">
        <v>10</v>
      </c>
      <c r="E130" s="91"/>
      <c r="F130" s="92"/>
      <c r="G130" s="91"/>
      <c r="H130" s="93">
        <v>55675.230000000003</v>
      </c>
    </row>
    <row r="131" ht="28">
      <c r="A131" s="15" t="s">
        <v>269</v>
      </c>
      <c r="B131" s="94" t="s">
        <v>270</v>
      </c>
      <c r="C131" s="28" t="s">
        <v>252</v>
      </c>
      <c r="D131" s="75">
        <v>2.3999999999999999</v>
      </c>
      <c r="E131" s="91"/>
      <c r="F131" s="92"/>
      <c r="G131" s="91"/>
      <c r="H131" s="93">
        <v>14226.01</v>
      </c>
    </row>
    <row r="132" ht="28">
      <c r="A132" s="15" t="s">
        <v>271</v>
      </c>
      <c r="B132" s="94" t="s">
        <v>272</v>
      </c>
      <c r="C132" s="28" t="s">
        <v>252</v>
      </c>
      <c r="D132" s="75">
        <v>2.3999999999999999</v>
      </c>
      <c r="E132" s="91"/>
      <c r="F132" s="92"/>
      <c r="G132" s="91"/>
      <c r="H132" s="93">
        <v>16031.440000000001</v>
      </c>
    </row>
    <row r="133" ht="28">
      <c r="A133" s="15" t="s">
        <v>273</v>
      </c>
      <c r="B133" s="94" t="s">
        <v>274</v>
      </c>
      <c r="C133" s="28" t="s">
        <v>252</v>
      </c>
      <c r="D133" s="75">
        <v>6</v>
      </c>
      <c r="E133" s="91"/>
      <c r="F133" s="92"/>
      <c r="G133" s="91"/>
      <c r="H133" s="93">
        <v>73039.470000000001</v>
      </c>
    </row>
    <row r="134" ht="28">
      <c r="A134" s="15" t="s">
        <v>275</v>
      </c>
      <c r="B134" s="94" t="s">
        <v>276</v>
      </c>
      <c r="C134" s="28" t="s">
        <v>252</v>
      </c>
      <c r="D134" s="75">
        <v>1</v>
      </c>
      <c r="E134" s="91"/>
      <c r="F134" s="92"/>
      <c r="G134" s="91"/>
      <c r="H134" s="93">
        <v>12751.42</v>
      </c>
    </row>
    <row r="135" ht="42">
      <c r="A135" s="15" t="s">
        <v>277</v>
      </c>
      <c r="B135" s="78" t="s">
        <v>278</v>
      </c>
      <c r="C135" s="28" t="s">
        <v>252</v>
      </c>
      <c r="D135" s="75">
        <v>6</v>
      </c>
      <c r="E135" s="91"/>
      <c r="F135" s="92"/>
      <c r="G135" s="91"/>
      <c r="H135" s="93">
        <v>155021</v>
      </c>
    </row>
    <row r="136" ht="42">
      <c r="A136" s="15" t="s">
        <v>279</v>
      </c>
      <c r="B136" s="78" t="s">
        <v>280</v>
      </c>
      <c r="C136" s="28" t="s">
        <v>252</v>
      </c>
      <c r="D136" s="75">
        <v>6</v>
      </c>
      <c r="E136" s="91"/>
      <c r="F136" s="92"/>
      <c r="G136" s="91"/>
      <c r="H136" s="93">
        <v>327358.97999999998</v>
      </c>
    </row>
    <row r="137" ht="28">
      <c r="A137" s="15" t="s">
        <v>281</v>
      </c>
      <c r="B137" s="78" t="s">
        <v>282</v>
      </c>
      <c r="C137" s="28" t="s">
        <v>252</v>
      </c>
      <c r="D137" s="75">
        <v>6</v>
      </c>
      <c r="E137" s="91"/>
      <c r="F137" s="92"/>
      <c r="G137" s="91"/>
      <c r="H137" s="93">
        <v>87567.960000000006</v>
      </c>
    </row>
    <row r="138" ht="41.149999999999999" customHeight="1">
      <c r="A138" s="15" t="s">
        <v>283</v>
      </c>
      <c r="B138" s="78" t="s">
        <v>284</v>
      </c>
      <c r="C138" s="28" t="s">
        <v>252</v>
      </c>
      <c r="D138" s="75">
        <v>10</v>
      </c>
      <c r="E138" s="91"/>
      <c r="F138" s="92"/>
      <c r="G138" s="91"/>
      <c r="H138" s="93">
        <v>409198.72999999998</v>
      </c>
    </row>
    <row r="139" ht="42">
      <c r="A139" s="15" t="s">
        <v>285</v>
      </c>
      <c r="B139" s="78" t="s">
        <v>286</v>
      </c>
      <c r="C139" s="28" t="s">
        <v>19</v>
      </c>
      <c r="D139" s="75">
        <v>2</v>
      </c>
      <c r="E139" s="91"/>
      <c r="F139" s="92"/>
      <c r="G139" s="91"/>
      <c r="H139" s="93">
        <v>94525</v>
      </c>
    </row>
    <row r="140" ht="28">
      <c r="A140" s="15" t="s">
        <v>287</v>
      </c>
      <c r="B140" s="94" t="s">
        <v>288</v>
      </c>
      <c r="C140" s="28" t="s">
        <v>252</v>
      </c>
      <c r="D140" s="75">
        <v>8</v>
      </c>
      <c r="E140" s="80"/>
      <c r="F140" s="82"/>
      <c r="G140" s="81"/>
      <c r="H140" s="81">
        <v>453720</v>
      </c>
    </row>
    <row r="141" ht="28">
      <c r="A141" s="15" t="s">
        <v>289</v>
      </c>
      <c r="B141" s="94" t="s">
        <v>290</v>
      </c>
      <c r="C141" s="28" t="s">
        <v>65</v>
      </c>
      <c r="D141" s="75">
        <v>3</v>
      </c>
      <c r="E141" s="80"/>
      <c r="F141" s="82"/>
      <c r="G141" s="81"/>
      <c r="H141" s="81">
        <v>141787.5</v>
      </c>
    </row>
    <row r="142" ht="56">
      <c r="A142" s="15" t="s">
        <v>291</v>
      </c>
      <c r="B142" s="94" t="s">
        <v>292</v>
      </c>
      <c r="C142" s="28" t="s">
        <v>65</v>
      </c>
      <c r="D142" s="75">
        <v>3</v>
      </c>
      <c r="E142" s="80"/>
      <c r="F142" s="82"/>
      <c r="G142" s="81"/>
      <c r="H142" s="81">
        <v>141787.5</v>
      </c>
    </row>
    <row r="143" ht="42">
      <c r="A143" s="15" t="s">
        <v>293</v>
      </c>
      <c r="B143" s="19" t="s">
        <v>294</v>
      </c>
      <c r="C143" s="20" t="s">
        <v>24</v>
      </c>
      <c r="D143" s="20">
        <v>48</v>
      </c>
      <c r="E143" s="29"/>
      <c r="F143" s="54"/>
      <c r="G143" s="41"/>
      <c r="H143" s="41">
        <v>415910</v>
      </c>
    </row>
    <row r="144" ht="14">
      <c r="A144" s="46"/>
      <c r="B144" s="76" t="s">
        <v>295</v>
      </c>
      <c r="C144" s="72"/>
      <c r="D144" s="72"/>
      <c r="E144" s="72"/>
      <c r="F144" s="73"/>
      <c r="G144" s="72"/>
      <c r="H144" s="74"/>
    </row>
    <row r="145" ht="56">
      <c r="A145" s="15" t="s">
        <v>293</v>
      </c>
      <c r="B145" s="78" t="s">
        <v>296</v>
      </c>
      <c r="C145" s="20"/>
      <c r="D145" s="29"/>
      <c r="E145" s="29"/>
      <c r="F145" s="29"/>
      <c r="G145" s="29"/>
      <c r="H145" s="41"/>
    </row>
    <row r="146" ht="14">
      <c r="A146" s="15" t="s">
        <v>297</v>
      </c>
      <c r="B146" s="78" t="s">
        <v>298</v>
      </c>
      <c r="C146" s="28" t="s">
        <v>65</v>
      </c>
      <c r="D146" s="75">
        <v>2</v>
      </c>
      <c r="E146" s="29"/>
      <c r="F146" s="54"/>
      <c r="G146" s="41"/>
      <c r="H146" s="41">
        <v>283575</v>
      </c>
    </row>
    <row r="147" ht="14">
      <c r="A147" s="15" t="s">
        <v>299</v>
      </c>
      <c r="B147" s="78" t="s">
        <v>300</v>
      </c>
      <c r="C147" s="28" t="s">
        <v>65</v>
      </c>
      <c r="D147" s="75">
        <v>2</v>
      </c>
      <c r="E147" s="29"/>
      <c r="F147" s="54"/>
      <c r="G147" s="41"/>
      <c r="H147" s="41">
        <v>226860</v>
      </c>
    </row>
    <row r="148" ht="14">
      <c r="A148" s="15" t="s">
        <v>301</v>
      </c>
      <c r="B148" s="78" t="s">
        <v>302</v>
      </c>
      <c r="C148" s="28" t="s">
        <v>65</v>
      </c>
      <c r="D148" s="75">
        <v>2</v>
      </c>
      <c r="E148" s="29"/>
      <c r="F148" s="54"/>
      <c r="G148" s="41"/>
      <c r="H148" s="41">
        <v>226860</v>
      </c>
    </row>
    <row r="149" ht="70">
      <c r="A149" s="15" t="s">
        <v>303</v>
      </c>
      <c r="B149" s="89" t="s">
        <v>304</v>
      </c>
      <c r="C149" s="28" t="s">
        <v>65</v>
      </c>
      <c r="D149" s="29">
        <v>2</v>
      </c>
      <c r="E149" s="29"/>
      <c r="F149" s="54"/>
      <c r="G149" s="41"/>
      <c r="H149" s="41">
        <v>189050</v>
      </c>
    </row>
    <row r="150" ht="14">
      <c r="A150" s="46"/>
      <c r="B150" s="76" t="s">
        <v>305</v>
      </c>
      <c r="C150" s="72"/>
      <c r="D150" s="72"/>
      <c r="E150" s="72"/>
      <c r="F150" s="73"/>
      <c r="G150" s="72"/>
      <c r="H150" s="74"/>
    </row>
    <row r="151" ht="84">
      <c r="A151" s="15" t="s">
        <v>306</v>
      </c>
      <c r="B151" s="78" t="s">
        <v>307</v>
      </c>
      <c r="C151" s="28" t="s">
        <v>19</v>
      </c>
      <c r="D151" s="75">
        <v>4</v>
      </c>
      <c r="E151" s="29"/>
      <c r="F151" s="54"/>
      <c r="G151" s="41"/>
      <c r="H151" s="41">
        <v>945250</v>
      </c>
    </row>
    <row r="152" ht="14">
      <c r="A152" s="46"/>
      <c r="B152" s="76" t="s">
        <v>308</v>
      </c>
      <c r="C152" s="72"/>
      <c r="D152" s="72"/>
      <c r="E152" s="72"/>
      <c r="F152" s="73"/>
      <c r="G152" s="72"/>
      <c r="H152" s="74"/>
    </row>
    <row r="153" ht="42">
      <c r="A153" s="15" t="s">
        <v>309</v>
      </c>
      <c r="B153" s="78" t="s">
        <v>310</v>
      </c>
      <c r="C153" s="28" t="s">
        <v>65</v>
      </c>
      <c r="D153" s="28">
        <v>2</v>
      </c>
      <c r="E153" s="29"/>
      <c r="F153" s="54"/>
      <c r="G153" s="41"/>
      <c r="H153" s="41">
        <v>189050</v>
      </c>
    </row>
    <row r="154" ht="42">
      <c r="A154" s="15" t="s">
        <v>311</v>
      </c>
      <c r="B154" s="78" t="s">
        <v>312</v>
      </c>
      <c r="C154" s="28" t="s">
        <v>65</v>
      </c>
      <c r="D154" s="28">
        <v>2</v>
      </c>
      <c r="E154" s="29"/>
      <c r="F154" s="54"/>
      <c r="G154" s="41"/>
      <c r="H154" s="41">
        <v>37810</v>
      </c>
    </row>
    <row r="155" ht="42">
      <c r="A155" s="15" t="s">
        <v>313</v>
      </c>
      <c r="B155" s="78" t="s">
        <v>314</v>
      </c>
      <c r="C155" s="28" t="s">
        <v>65</v>
      </c>
      <c r="D155" s="28">
        <v>1</v>
      </c>
      <c r="E155" s="29"/>
      <c r="F155" s="54"/>
      <c r="G155" s="41"/>
      <c r="H155" s="41">
        <v>51988.75</v>
      </c>
    </row>
    <row r="156" ht="42">
      <c r="A156" s="15" t="s">
        <v>315</v>
      </c>
      <c r="B156" s="78" t="s">
        <v>316</v>
      </c>
      <c r="C156" s="28" t="s">
        <v>65</v>
      </c>
      <c r="D156" s="28">
        <v>1</v>
      </c>
      <c r="E156" s="29"/>
      <c r="F156" s="54"/>
      <c r="G156" s="41"/>
      <c r="H156" s="41">
        <v>49153</v>
      </c>
    </row>
    <row r="157" ht="42">
      <c r="A157" s="15" t="s">
        <v>317</v>
      </c>
      <c r="B157" s="78" t="s">
        <v>318</v>
      </c>
      <c r="C157" s="28" t="s">
        <v>65</v>
      </c>
      <c r="D157" s="28">
        <v>2</v>
      </c>
      <c r="E157" s="29"/>
      <c r="F157" s="29"/>
      <c r="G157" s="41"/>
      <c r="H157" s="41">
        <v>47262.5</v>
      </c>
    </row>
    <row r="158" ht="42">
      <c r="A158" s="15" t="s">
        <v>319</v>
      </c>
      <c r="B158" s="78" t="s">
        <v>320</v>
      </c>
      <c r="C158" s="28" t="s">
        <v>65</v>
      </c>
      <c r="D158" s="28">
        <v>1</v>
      </c>
      <c r="E158" s="29"/>
      <c r="F158" s="54"/>
      <c r="G158" s="41"/>
      <c r="H158" s="41">
        <v>14178.75</v>
      </c>
    </row>
    <row r="159" ht="56">
      <c r="A159" s="15" t="s">
        <v>321</v>
      </c>
      <c r="B159" s="78" t="s">
        <v>322</v>
      </c>
      <c r="C159" s="28" t="s">
        <v>65</v>
      </c>
      <c r="D159" s="28">
        <v>2</v>
      </c>
      <c r="E159" s="29"/>
      <c r="F159" s="54"/>
      <c r="G159" s="41"/>
      <c r="H159" s="41">
        <v>47262.5</v>
      </c>
    </row>
    <row r="160" ht="56">
      <c r="A160" s="15" t="s">
        <v>323</v>
      </c>
      <c r="B160" s="78" t="s">
        <v>324</v>
      </c>
      <c r="C160" s="28" t="s">
        <v>65</v>
      </c>
      <c r="D160" s="28">
        <v>3</v>
      </c>
      <c r="E160" s="29"/>
      <c r="F160" s="54"/>
      <c r="G160" s="41"/>
      <c r="H160" s="41">
        <v>31760.400000000001</v>
      </c>
    </row>
    <row r="161" ht="42">
      <c r="A161" s="15" t="s">
        <v>325</v>
      </c>
      <c r="B161" s="78" t="s">
        <v>326</v>
      </c>
      <c r="C161" s="28" t="s">
        <v>65</v>
      </c>
      <c r="D161" s="28">
        <v>1</v>
      </c>
      <c r="E161" s="29"/>
      <c r="F161" s="54"/>
      <c r="G161" s="41"/>
      <c r="H161" s="41">
        <v>25805.330000000002</v>
      </c>
    </row>
    <row r="162" ht="42">
      <c r="A162" s="15" t="s">
        <v>327</v>
      </c>
      <c r="B162" s="78" t="s">
        <v>328</v>
      </c>
      <c r="C162" s="28" t="s">
        <v>65</v>
      </c>
      <c r="D162" s="28">
        <v>1</v>
      </c>
      <c r="E162" s="29"/>
      <c r="F162" s="54"/>
      <c r="G162" s="41"/>
      <c r="H162" s="41">
        <v>16636.400000000001</v>
      </c>
    </row>
    <row r="163" ht="47.25" customHeight="1">
      <c r="A163" s="15" t="s">
        <v>329</v>
      </c>
      <c r="B163" s="78" t="s">
        <v>330</v>
      </c>
      <c r="C163" s="28" t="s">
        <v>65</v>
      </c>
      <c r="D163" s="28">
        <v>1</v>
      </c>
      <c r="E163" s="29"/>
      <c r="F163" s="54"/>
      <c r="G163" s="41"/>
      <c r="H163" s="41">
        <v>20700.98</v>
      </c>
    </row>
    <row r="164" ht="42">
      <c r="A164" s="15" t="s">
        <v>331</v>
      </c>
      <c r="B164" s="78" t="s">
        <v>332</v>
      </c>
      <c r="C164" s="28" t="s">
        <v>65</v>
      </c>
      <c r="D164" s="28">
        <v>2</v>
      </c>
      <c r="E164" s="29"/>
      <c r="F164" s="54"/>
      <c r="G164" s="41"/>
      <c r="H164" s="41">
        <v>36297.599999999999</v>
      </c>
    </row>
    <row r="165" ht="42">
      <c r="A165" s="15" t="s">
        <v>333</v>
      </c>
      <c r="B165" s="95" t="s">
        <v>334</v>
      </c>
      <c r="C165" s="28" t="s">
        <v>335</v>
      </c>
      <c r="D165" s="28">
        <v>4</v>
      </c>
      <c r="E165" s="53"/>
      <c r="F165" s="54"/>
      <c r="G165" s="96"/>
      <c r="H165" s="97">
        <v>94525</v>
      </c>
    </row>
    <row r="166" ht="42">
      <c r="A166" s="15" t="s">
        <v>336</v>
      </c>
      <c r="B166" s="95" t="s">
        <v>337</v>
      </c>
      <c r="C166" s="28" t="s">
        <v>65</v>
      </c>
      <c r="D166" s="28">
        <v>1</v>
      </c>
      <c r="E166" s="53"/>
      <c r="F166" s="54"/>
      <c r="G166" s="96"/>
      <c r="H166" s="97">
        <v>45372</v>
      </c>
    </row>
    <row r="167" ht="42">
      <c r="A167" s="15" t="s">
        <v>338</v>
      </c>
      <c r="B167" s="95" t="s">
        <v>339</v>
      </c>
      <c r="C167" s="28" t="s">
        <v>65</v>
      </c>
      <c r="D167" s="28">
        <v>1</v>
      </c>
      <c r="E167" s="53"/>
      <c r="F167" s="54"/>
      <c r="G167" s="96"/>
      <c r="H167" s="97">
        <v>45372</v>
      </c>
    </row>
    <row r="168" ht="14">
      <c r="A168" s="98"/>
      <c r="B168" s="99" t="s">
        <v>340</v>
      </c>
      <c r="C168" s="71"/>
      <c r="D168" s="71"/>
      <c r="E168" s="50"/>
      <c r="F168" s="100"/>
      <c r="G168" s="51"/>
      <c r="H168" s="51"/>
    </row>
    <row r="169" ht="70">
      <c r="A169" s="15" t="s">
        <v>341</v>
      </c>
      <c r="B169" s="78" t="s">
        <v>342</v>
      </c>
      <c r="C169" s="28" t="s">
        <v>65</v>
      </c>
      <c r="D169" s="28">
        <v>1</v>
      </c>
      <c r="E169" s="53"/>
      <c r="F169" s="54"/>
      <c r="G169" s="97"/>
      <c r="H169" s="97">
        <v>236312.5</v>
      </c>
    </row>
    <row r="170" ht="42">
      <c r="A170" s="15" t="s">
        <v>343</v>
      </c>
      <c r="B170" s="78" t="s">
        <v>344</v>
      </c>
      <c r="C170" s="28" t="s">
        <v>65</v>
      </c>
      <c r="D170" s="28">
        <v>1</v>
      </c>
      <c r="E170" s="53"/>
      <c r="F170" s="54"/>
      <c r="G170" s="96"/>
      <c r="H170" s="97">
        <v>141787.5</v>
      </c>
    </row>
    <row r="171" ht="70">
      <c r="A171" s="15" t="s">
        <v>345</v>
      </c>
      <c r="B171" s="78" t="s">
        <v>346</v>
      </c>
      <c r="C171" s="28" t="s">
        <v>65</v>
      </c>
      <c r="D171" s="28">
        <v>1</v>
      </c>
      <c r="E171" s="53"/>
      <c r="F171" s="54"/>
      <c r="G171" s="96"/>
      <c r="H171" s="97">
        <v>189050</v>
      </c>
    </row>
    <row r="172" ht="14">
      <c r="A172" s="46"/>
      <c r="B172" s="99" t="s">
        <v>347</v>
      </c>
      <c r="C172" s="71"/>
      <c r="D172" s="71"/>
      <c r="E172" s="50"/>
      <c r="F172" s="100"/>
      <c r="G172" s="87"/>
      <c r="H172" s="51"/>
    </row>
    <row r="173" ht="28">
      <c r="A173" s="15" t="s">
        <v>348</v>
      </c>
      <c r="B173" s="78" t="s">
        <v>349</v>
      </c>
      <c r="C173" s="28" t="s">
        <v>350</v>
      </c>
      <c r="D173" s="28">
        <v>1</v>
      </c>
      <c r="E173" s="53"/>
      <c r="F173" s="54"/>
      <c r="G173" s="96"/>
      <c r="H173" s="97">
        <v>567150</v>
      </c>
    </row>
    <row r="174" s="0" customFormat="1" ht="13" customHeight="1">
      <c r="A174" s="101" t="s">
        <v>351</v>
      </c>
      <c r="B174" s="101"/>
      <c r="C174" s="101"/>
      <c r="D174" s="101"/>
      <c r="E174" s="101"/>
      <c r="F174" s="101"/>
      <c r="G174" s="101"/>
      <c r="H174" s="102">
        <v>14105501.42</v>
      </c>
    </row>
    <row r="175" s="0" customFormat="1" ht="13" customHeight="1">
      <c r="A175" s="101" t="s">
        <v>352</v>
      </c>
      <c r="B175" s="101"/>
      <c r="C175" s="101"/>
      <c r="D175" s="101"/>
      <c r="E175" s="101"/>
      <c r="F175" s="101"/>
      <c r="G175" s="101"/>
      <c r="H175" s="102">
        <f>H174*0.2</f>
        <v>2821100.284</v>
      </c>
    </row>
    <row r="176" s="0" customFormat="1" ht="14">
      <c r="A176" s="101" t="s">
        <v>351</v>
      </c>
      <c r="B176" s="101"/>
      <c r="C176" s="101"/>
      <c r="D176" s="101"/>
      <c r="E176" s="101"/>
      <c r="F176" s="101"/>
      <c r="G176" s="101"/>
      <c r="H176" s="102">
        <f>SUM(H174:H175)</f>
        <v>16926601.704</v>
      </c>
    </row>
    <row r="177" s="0" customFormat="1" ht="14">
      <c r="A177" s="103" t="s">
        <v>353</v>
      </c>
      <c r="B177" s="103"/>
      <c r="C177" s="103"/>
      <c r="D177" s="103"/>
      <c r="E177" s="103"/>
      <c r="F177" s="103"/>
      <c r="G177" s="103"/>
      <c r="H177" s="103"/>
    </row>
    <row r="178" s="0" customFormat="1" ht="14">
      <c r="A178" s="104" t="s">
        <v>354</v>
      </c>
      <c r="B178" s="104"/>
      <c r="C178" s="104"/>
      <c r="D178" s="104"/>
      <c r="E178" s="104"/>
      <c r="F178" s="104"/>
      <c r="G178" s="104"/>
      <c r="H178" s="104"/>
    </row>
    <row r="179" s="0" customFormat="1" ht="70">
      <c r="A179" s="15" t="s">
        <v>17</v>
      </c>
      <c r="B179" s="16" t="s">
        <v>355</v>
      </c>
      <c r="C179" s="15" t="s">
        <v>19</v>
      </c>
      <c r="D179" s="15" t="s">
        <v>20</v>
      </c>
      <c r="E179" s="17"/>
      <c r="F179" s="17"/>
      <c r="G179" s="17"/>
      <c r="H179" s="18" t="s">
        <v>356</v>
      </c>
    </row>
    <row r="180" s="0" customFormat="1" ht="70">
      <c r="A180" s="15" t="s">
        <v>66</v>
      </c>
      <c r="B180" s="16" t="s">
        <v>357</v>
      </c>
      <c r="C180" s="20" t="s">
        <v>65</v>
      </c>
      <c r="D180" s="20">
        <v>5</v>
      </c>
      <c r="E180" s="17"/>
      <c r="F180" s="17"/>
      <c r="G180" s="17"/>
      <c r="H180" s="81">
        <v>50400</v>
      </c>
    </row>
    <row r="181" s="0" customFormat="1" ht="42">
      <c r="A181" s="15" t="s">
        <v>68</v>
      </c>
      <c r="B181" s="19" t="s">
        <v>358</v>
      </c>
      <c r="C181" s="20" t="s">
        <v>65</v>
      </c>
      <c r="D181" s="20">
        <v>12</v>
      </c>
      <c r="E181" s="17"/>
      <c r="F181" s="17"/>
      <c r="G181" s="17"/>
      <c r="H181" s="81">
        <v>201600</v>
      </c>
    </row>
    <row r="182" s="0" customFormat="1" ht="42">
      <c r="A182" s="15" t="s">
        <v>70</v>
      </c>
      <c r="B182" s="19" t="s">
        <v>359</v>
      </c>
      <c r="C182" s="18" t="s">
        <v>65</v>
      </c>
      <c r="D182" s="105">
        <v>9</v>
      </c>
      <c r="E182" s="17"/>
      <c r="F182" s="17"/>
      <c r="G182" s="17"/>
      <c r="H182" s="81">
        <v>70560</v>
      </c>
    </row>
    <row r="183" s="0" customFormat="1" ht="28">
      <c r="A183" s="15" t="s">
        <v>76</v>
      </c>
      <c r="B183" s="19" t="s">
        <v>360</v>
      </c>
      <c r="C183" s="18" t="s">
        <v>65</v>
      </c>
      <c r="D183" s="105">
        <v>1</v>
      </c>
      <c r="E183" s="17"/>
      <c r="F183" s="17"/>
      <c r="G183" s="17"/>
      <c r="H183" s="81" t="s">
        <v>361</v>
      </c>
    </row>
    <row r="184" s="0" customFormat="1" ht="70">
      <c r="A184" s="15" t="s">
        <v>118</v>
      </c>
      <c r="B184" s="16" t="s">
        <v>362</v>
      </c>
      <c r="C184" s="15" t="s">
        <v>65</v>
      </c>
      <c r="D184" s="15" t="s">
        <v>20</v>
      </c>
      <c r="E184" s="53"/>
      <c r="F184" s="54"/>
      <c r="G184" s="41"/>
      <c r="H184" s="31">
        <v>20160</v>
      </c>
    </row>
    <row r="185" s="0" customFormat="1" ht="28">
      <c r="A185" s="15" t="s">
        <v>132</v>
      </c>
      <c r="B185" s="16" t="s">
        <v>363</v>
      </c>
      <c r="C185" s="15" t="s">
        <v>65</v>
      </c>
      <c r="D185" s="61" t="s">
        <v>131</v>
      </c>
      <c r="E185" s="53"/>
      <c r="F185" s="54"/>
      <c r="G185" s="41"/>
      <c r="H185" s="31">
        <v>39700.5</v>
      </c>
    </row>
    <row r="186" s="0" customFormat="1" ht="42">
      <c r="A186" s="15" t="s">
        <v>140</v>
      </c>
      <c r="B186" s="16" t="s">
        <v>364</v>
      </c>
      <c r="C186" s="20" t="s">
        <v>65</v>
      </c>
      <c r="D186" s="20">
        <v>1</v>
      </c>
      <c r="E186" s="60"/>
      <c r="F186" s="30"/>
      <c r="G186" s="40"/>
      <c r="H186" s="41">
        <v>99251.25</v>
      </c>
    </row>
    <row r="187" s="0" customFormat="1" ht="61.5" customHeight="1">
      <c r="A187" s="15" t="s">
        <v>144</v>
      </c>
      <c r="B187" s="16" t="s">
        <v>365</v>
      </c>
      <c r="C187" s="15" t="s">
        <v>65</v>
      </c>
      <c r="D187" s="61" t="s">
        <v>131</v>
      </c>
      <c r="E187" s="53"/>
      <c r="F187" s="54"/>
      <c r="G187" s="41"/>
      <c r="H187" s="31">
        <v>14000</v>
      </c>
    </row>
    <row r="188" s="0" customFormat="1" ht="70">
      <c r="A188" s="15" t="s">
        <v>146</v>
      </c>
      <c r="B188" s="16" t="s">
        <v>366</v>
      </c>
      <c r="C188" s="15" t="s">
        <v>65</v>
      </c>
      <c r="D188" s="61" t="s">
        <v>20</v>
      </c>
      <c r="E188" s="53"/>
      <c r="F188" s="54"/>
      <c r="G188" s="41"/>
      <c r="H188" s="31">
        <v>56000</v>
      </c>
    </row>
    <row r="189" s="0" customFormat="1" ht="28">
      <c r="A189" s="15" t="s">
        <v>148</v>
      </c>
      <c r="B189" s="63" t="s">
        <v>367</v>
      </c>
      <c r="C189" s="15" t="s">
        <v>65</v>
      </c>
      <c r="D189" s="15" t="s">
        <v>131</v>
      </c>
      <c r="E189" s="53"/>
      <c r="F189" s="54"/>
      <c r="G189" s="41"/>
      <c r="H189" s="31">
        <v>19500</v>
      </c>
    </row>
    <row r="190" s="0" customFormat="1" ht="70">
      <c r="A190" s="15" t="s">
        <v>170</v>
      </c>
      <c r="B190" s="45" t="s">
        <v>368</v>
      </c>
      <c r="C190" s="29" t="s">
        <v>65</v>
      </c>
      <c r="D190" s="29">
        <v>2</v>
      </c>
      <c r="E190" s="29"/>
      <c r="F190" s="54"/>
      <c r="G190" s="41"/>
      <c r="H190" s="31">
        <v>291137</v>
      </c>
    </row>
    <row r="191" s="0" customFormat="1" ht="42">
      <c r="A191" s="15" t="s">
        <v>172</v>
      </c>
      <c r="B191" s="45" t="s">
        <v>369</v>
      </c>
      <c r="C191" s="29" t="s">
        <v>65</v>
      </c>
      <c r="D191" s="29">
        <v>2</v>
      </c>
      <c r="E191" s="29"/>
      <c r="F191" s="54"/>
      <c r="G191" s="41"/>
      <c r="H191" s="33"/>
    </row>
    <row r="192" s="0" customFormat="1" ht="28">
      <c r="A192" s="15" t="s">
        <v>174</v>
      </c>
      <c r="B192" s="45" t="s">
        <v>370</v>
      </c>
      <c r="C192" s="79" t="s">
        <v>65</v>
      </c>
      <c r="D192" s="20">
        <v>4</v>
      </c>
      <c r="E192" s="29"/>
      <c r="F192" s="54"/>
      <c r="G192" s="41"/>
      <c r="H192" s="39"/>
    </row>
    <row r="193" s="0" customFormat="1" ht="42">
      <c r="A193" s="106" t="s">
        <v>371</v>
      </c>
      <c r="B193" s="45" t="s">
        <v>372</v>
      </c>
      <c r="C193" s="20" t="s">
        <v>65</v>
      </c>
      <c r="D193" s="29">
        <v>2</v>
      </c>
      <c r="E193" s="80"/>
      <c r="F193" s="80"/>
      <c r="G193" s="81"/>
      <c r="H193" s="81">
        <v>55580.699999999997</v>
      </c>
    </row>
    <row r="194" s="0" customFormat="1" ht="56">
      <c r="A194" s="106" t="s">
        <v>198</v>
      </c>
      <c r="B194" s="89" t="s">
        <v>373</v>
      </c>
      <c r="C194" s="20" t="s">
        <v>65</v>
      </c>
      <c r="D194" s="29">
        <v>1</v>
      </c>
      <c r="E194" s="80"/>
      <c r="F194" s="82"/>
      <c r="G194" s="81"/>
      <c r="H194" s="81">
        <v>24084.970000000001</v>
      </c>
    </row>
    <row r="195" s="0" customFormat="1" ht="56">
      <c r="A195" s="106" t="s">
        <v>200</v>
      </c>
      <c r="B195" s="89" t="s">
        <v>374</v>
      </c>
      <c r="C195" s="20" t="s">
        <v>65</v>
      </c>
      <c r="D195" s="29">
        <v>1</v>
      </c>
      <c r="E195" s="29"/>
      <c r="F195" s="54"/>
      <c r="G195" s="41"/>
      <c r="H195" s="81">
        <v>24084.970000000001</v>
      </c>
    </row>
    <row r="196" s="0" customFormat="1" ht="42">
      <c r="A196" s="106" t="s">
        <v>202</v>
      </c>
      <c r="B196" s="89" t="s">
        <v>375</v>
      </c>
      <c r="C196" s="20" t="s">
        <v>65</v>
      </c>
      <c r="D196" s="29">
        <v>1</v>
      </c>
      <c r="E196" s="80"/>
      <c r="F196" s="82"/>
      <c r="G196" s="81"/>
      <c r="H196" s="81">
        <v>25474.5</v>
      </c>
    </row>
    <row r="197" s="0" customFormat="1" ht="56">
      <c r="A197" s="106" t="s">
        <v>206</v>
      </c>
      <c r="B197" s="89" t="s">
        <v>376</v>
      </c>
      <c r="C197" s="20" t="s">
        <v>65</v>
      </c>
      <c r="D197" s="29">
        <v>1</v>
      </c>
      <c r="E197" s="80"/>
      <c r="F197" s="82"/>
      <c r="G197" s="81"/>
      <c r="H197" s="81">
        <v>24084.970000000001</v>
      </c>
    </row>
    <row r="198" s="0" customFormat="1" ht="56">
      <c r="A198" s="106" t="s">
        <v>210</v>
      </c>
      <c r="B198" s="89" t="s">
        <v>377</v>
      </c>
      <c r="C198" s="20" t="s">
        <v>65</v>
      </c>
      <c r="D198" s="29">
        <v>1</v>
      </c>
      <c r="E198" s="80"/>
      <c r="F198" s="82"/>
      <c r="G198" s="81"/>
      <c r="H198" s="81">
        <v>24084.970000000001</v>
      </c>
    </row>
    <row r="199" s="0" customFormat="1" ht="56">
      <c r="A199" s="15" t="s">
        <v>212</v>
      </c>
      <c r="B199" s="89" t="s">
        <v>378</v>
      </c>
      <c r="C199" s="20" t="s">
        <v>65</v>
      </c>
      <c r="D199" s="29">
        <v>1</v>
      </c>
      <c r="E199" s="80"/>
      <c r="F199" s="82"/>
      <c r="G199" s="81"/>
      <c r="H199" s="81">
        <v>32422.075000000001</v>
      </c>
    </row>
    <row r="200" s="0" customFormat="1" ht="42">
      <c r="A200" s="106" t="s">
        <v>214</v>
      </c>
      <c r="B200" s="89" t="s">
        <v>379</v>
      </c>
      <c r="C200" s="20" t="s">
        <v>65</v>
      </c>
      <c r="D200" s="29">
        <v>1</v>
      </c>
      <c r="E200" s="80"/>
      <c r="F200" s="82"/>
      <c r="G200" s="81"/>
      <c r="H200" s="81">
        <v>79401</v>
      </c>
    </row>
    <row r="201" s="0" customFormat="1" ht="56">
      <c r="A201" s="15" t="s">
        <v>229</v>
      </c>
      <c r="B201" s="89" t="s">
        <v>380</v>
      </c>
      <c r="C201" s="20" t="s">
        <v>65</v>
      </c>
      <c r="D201" s="29">
        <v>4</v>
      </c>
      <c r="E201" s="90"/>
      <c r="F201" s="82"/>
      <c r="G201" s="81"/>
      <c r="H201" s="81">
        <v>24878.98</v>
      </c>
    </row>
    <row r="202" s="0" customFormat="1" ht="70">
      <c r="A202" s="15" t="s">
        <v>231</v>
      </c>
      <c r="B202" s="89" t="s">
        <v>232</v>
      </c>
      <c r="C202" s="20" t="s">
        <v>65</v>
      </c>
      <c r="D202" s="29">
        <v>7</v>
      </c>
      <c r="E202" s="29"/>
      <c r="F202" s="54"/>
      <c r="G202" s="41"/>
      <c r="H202" s="81">
        <v>89987.800000000003</v>
      </c>
    </row>
    <row r="203" s="0" customFormat="1" ht="84">
      <c r="A203" s="15" t="s">
        <v>235</v>
      </c>
      <c r="B203" s="89" t="s">
        <v>381</v>
      </c>
      <c r="C203" s="20" t="s">
        <v>65</v>
      </c>
      <c r="D203" s="29">
        <v>1</v>
      </c>
      <c r="E203" s="80"/>
      <c r="F203" s="82"/>
      <c r="G203" s="81"/>
      <c r="H203" s="81">
        <v>13127.629999999999</v>
      </c>
    </row>
    <row r="204" s="0" customFormat="1" ht="56">
      <c r="A204" s="15" t="s">
        <v>243</v>
      </c>
      <c r="B204" s="89" t="s">
        <v>382</v>
      </c>
      <c r="C204" s="20" t="s">
        <v>65</v>
      </c>
      <c r="D204" s="29">
        <v>1</v>
      </c>
      <c r="E204" s="29"/>
      <c r="F204" s="54"/>
      <c r="G204" s="41"/>
      <c r="H204" s="81">
        <v>4234.7200000000003</v>
      </c>
    </row>
    <row r="205" s="0" customFormat="1" ht="70">
      <c r="A205" s="15" t="s">
        <v>245</v>
      </c>
      <c r="B205" s="89" t="s">
        <v>383</v>
      </c>
      <c r="C205" s="20" t="s">
        <v>65</v>
      </c>
      <c r="D205" s="29">
        <v>3</v>
      </c>
      <c r="E205" s="29"/>
      <c r="F205" s="54"/>
      <c r="G205" s="41"/>
      <c r="H205" s="81">
        <v>12704.16</v>
      </c>
    </row>
    <row r="206" s="0" customFormat="1" ht="28">
      <c r="A206" s="15" t="s">
        <v>283</v>
      </c>
      <c r="B206" s="89" t="s">
        <v>384</v>
      </c>
      <c r="C206" s="20" t="s">
        <v>252</v>
      </c>
      <c r="D206" s="29">
        <v>10</v>
      </c>
      <c r="E206" s="91"/>
      <c r="F206" s="92"/>
      <c r="G206" s="91"/>
      <c r="H206" s="93">
        <v>204599.35999999999</v>
      </c>
    </row>
    <row r="207" s="0" customFormat="1" ht="42">
      <c r="A207" s="15" t="s">
        <v>285</v>
      </c>
      <c r="B207" s="89" t="s">
        <v>385</v>
      </c>
      <c r="C207" s="20" t="s">
        <v>19</v>
      </c>
      <c r="D207" s="29">
        <v>1</v>
      </c>
      <c r="E207" s="91"/>
      <c r="F207" s="92"/>
      <c r="G207" s="91"/>
      <c r="H207" s="93">
        <v>33083.75</v>
      </c>
    </row>
    <row r="208" s="0" customFormat="1" ht="42">
      <c r="A208" s="15" t="s">
        <v>293</v>
      </c>
      <c r="B208" s="19" t="s">
        <v>386</v>
      </c>
      <c r="C208" s="20" t="s">
        <v>24</v>
      </c>
      <c r="D208" s="20">
        <v>10</v>
      </c>
      <c r="E208" s="29"/>
      <c r="F208" s="54"/>
      <c r="G208" s="41"/>
      <c r="H208" s="41">
        <v>86647.910000000003</v>
      </c>
    </row>
    <row r="209" s="0" customFormat="1" ht="70">
      <c r="A209" s="15" t="s">
        <v>306</v>
      </c>
      <c r="B209" s="89" t="s">
        <v>387</v>
      </c>
      <c r="C209" s="20" t="s">
        <v>19</v>
      </c>
      <c r="D209" s="29">
        <v>4</v>
      </c>
      <c r="E209" s="29"/>
      <c r="F209" s="54"/>
      <c r="G209" s="41"/>
      <c r="H209" s="41">
        <v>661675</v>
      </c>
    </row>
    <row r="210" s="0" customFormat="1" ht="14">
      <c r="A210" s="101" t="s">
        <v>351</v>
      </c>
      <c r="B210" s="101"/>
      <c r="C210" s="101"/>
      <c r="D210" s="101"/>
      <c r="E210" s="101"/>
      <c r="F210" s="101"/>
      <c r="G210" s="101"/>
      <c r="H210" s="102">
        <f>SUM(H180:H209)</f>
        <v>2282466.2149999999</v>
      </c>
    </row>
    <row r="211" s="0" customFormat="1" ht="14">
      <c r="A211" s="101" t="s">
        <v>352</v>
      </c>
      <c r="B211" s="101"/>
      <c r="C211" s="101"/>
      <c r="D211" s="101"/>
      <c r="E211" s="101"/>
      <c r="F211" s="101"/>
      <c r="G211" s="101"/>
      <c r="H211" s="102">
        <f>H210*0.2</f>
        <v>456493.24300000002</v>
      </c>
    </row>
    <row r="212" s="0" customFormat="1" ht="14">
      <c r="A212" s="101" t="s">
        <v>351</v>
      </c>
      <c r="B212" s="101"/>
      <c r="C212" s="101"/>
      <c r="D212" s="101"/>
      <c r="E212" s="101"/>
      <c r="F212" s="101"/>
      <c r="G212" s="101"/>
      <c r="H212" s="102">
        <f>SUM(H210:H211)</f>
        <v>2738959.4579999996</v>
      </c>
    </row>
    <row r="213" s="0" customFormat="1" ht="14">
      <c r="A213" s="103" t="s">
        <v>353</v>
      </c>
      <c r="B213" s="103"/>
      <c r="C213" s="103"/>
      <c r="D213" s="103"/>
      <c r="E213" s="103"/>
      <c r="F213" s="103"/>
      <c r="G213" s="103"/>
      <c r="H213" s="103"/>
    </row>
    <row r="214" s="0" customFormat="1" ht="14">
      <c r="A214" s="104" t="s">
        <v>388</v>
      </c>
      <c r="B214" s="104"/>
      <c r="C214" s="104"/>
      <c r="D214" s="104"/>
      <c r="E214" s="104"/>
      <c r="F214" s="104"/>
      <c r="G214" s="104"/>
      <c r="H214" s="104"/>
    </row>
    <row r="215" s="0" customFormat="1" ht="70">
      <c r="A215" s="15" t="s">
        <v>233</v>
      </c>
      <c r="B215" s="89" t="s">
        <v>234</v>
      </c>
      <c r="C215" s="20" t="s">
        <v>65</v>
      </c>
      <c r="D215" s="29">
        <v>4</v>
      </c>
      <c r="E215" s="80"/>
      <c r="F215" s="82"/>
      <c r="G215" s="81"/>
      <c r="H215" s="81">
        <v>66848.080000000002</v>
      </c>
    </row>
    <row r="216" s="0" customFormat="1" ht="84">
      <c r="A216" s="15" t="s">
        <v>235</v>
      </c>
      <c r="B216" s="89" t="s">
        <v>236</v>
      </c>
      <c r="C216" s="20" t="s">
        <v>65</v>
      </c>
      <c r="D216" s="29">
        <v>1</v>
      </c>
      <c r="E216" s="80"/>
      <c r="F216" s="82"/>
      <c r="G216" s="81"/>
      <c r="H216" s="81">
        <v>18753.759999999998</v>
      </c>
    </row>
    <row r="217" s="0" customFormat="1" ht="84">
      <c r="A217" s="15" t="s">
        <v>239</v>
      </c>
      <c r="B217" s="89" t="s">
        <v>240</v>
      </c>
      <c r="C217" s="20" t="s">
        <v>65</v>
      </c>
      <c r="D217" s="29">
        <v>2</v>
      </c>
      <c r="E217" s="80"/>
      <c r="F217" s="82"/>
      <c r="G217" s="81"/>
      <c r="H217" s="81">
        <v>13157.879999999999</v>
      </c>
    </row>
    <row r="218" s="0" customFormat="1" ht="84">
      <c r="A218" s="15" t="s">
        <v>241</v>
      </c>
      <c r="B218" s="89" t="s">
        <v>242</v>
      </c>
      <c r="C218" s="20" t="s">
        <v>65</v>
      </c>
      <c r="D218" s="29">
        <v>4</v>
      </c>
      <c r="E218" s="81"/>
      <c r="F218" s="81"/>
      <c r="G218" s="81"/>
      <c r="H218" s="81">
        <v>32894.699999999997</v>
      </c>
    </row>
    <row r="219" s="0" customFormat="1" ht="70">
      <c r="A219" s="15" t="s">
        <v>245</v>
      </c>
      <c r="B219" s="89" t="s">
        <v>246</v>
      </c>
      <c r="C219" s="20" t="s">
        <v>65</v>
      </c>
      <c r="D219" s="29">
        <v>4</v>
      </c>
      <c r="E219" s="29"/>
      <c r="F219" s="54"/>
      <c r="G219" s="41"/>
      <c r="H219" s="81">
        <v>24198.400000000001</v>
      </c>
    </row>
    <row r="220" s="0" customFormat="1" ht="28">
      <c r="A220" s="15" t="s">
        <v>277</v>
      </c>
      <c r="B220" s="89" t="s">
        <v>389</v>
      </c>
      <c r="C220" s="20" t="s">
        <v>252</v>
      </c>
      <c r="D220" s="29">
        <v>6</v>
      </c>
      <c r="E220" s="91"/>
      <c r="F220" s="92"/>
      <c r="G220" s="91"/>
      <c r="H220" s="93">
        <v>155021</v>
      </c>
    </row>
    <row r="221" s="0" customFormat="1" ht="42">
      <c r="A221" s="15" t="s">
        <v>279</v>
      </c>
      <c r="B221" s="89" t="s">
        <v>280</v>
      </c>
      <c r="C221" s="20" t="s">
        <v>252</v>
      </c>
      <c r="D221" s="29">
        <v>6</v>
      </c>
      <c r="E221" s="91"/>
      <c r="F221" s="92"/>
      <c r="G221" s="91"/>
      <c r="H221" s="93">
        <v>327358.97999999998</v>
      </c>
    </row>
    <row r="222" s="0" customFormat="1" ht="14">
      <c r="A222" s="101" t="s">
        <v>351</v>
      </c>
      <c r="B222" s="101"/>
      <c r="C222" s="101"/>
      <c r="D222" s="101"/>
      <c r="E222" s="101"/>
      <c r="F222" s="101"/>
      <c r="G222" s="101"/>
      <c r="H222" s="102">
        <f>SUM(H215:H221)</f>
        <v>638232.79999999993</v>
      </c>
    </row>
    <row r="223" s="0" customFormat="1" ht="14">
      <c r="A223" s="101" t="s">
        <v>352</v>
      </c>
      <c r="B223" s="101"/>
      <c r="C223" s="101"/>
      <c r="D223" s="101"/>
      <c r="E223" s="101"/>
      <c r="F223" s="101"/>
      <c r="G223" s="101"/>
      <c r="H223" s="102">
        <f>H222*0.2</f>
        <v>127646.56</v>
      </c>
    </row>
    <row r="224" s="0" customFormat="1" ht="14">
      <c r="A224" s="101" t="s">
        <v>351</v>
      </c>
      <c r="B224" s="101"/>
      <c r="C224" s="101"/>
      <c r="D224" s="101"/>
      <c r="E224" s="101"/>
      <c r="F224" s="101"/>
      <c r="G224" s="101"/>
      <c r="H224" s="102">
        <f>SUM(H222:H223)</f>
        <v>765879.35999999987</v>
      </c>
    </row>
    <row r="225" ht="14">
      <c r="A225" s="104"/>
      <c r="B225" s="107" t="s">
        <v>390</v>
      </c>
      <c r="C225" s="108"/>
      <c r="D225" s="108"/>
      <c r="E225" s="108"/>
      <c r="F225" s="108"/>
      <c r="G225" s="108"/>
      <c r="H225" s="109"/>
    </row>
    <row r="226" ht="14">
      <c r="A226" s="104"/>
      <c r="B226" s="110" t="s">
        <v>391</v>
      </c>
      <c r="C226" s="22"/>
      <c r="D226" s="111"/>
      <c r="E226" s="111"/>
      <c r="F226" s="111"/>
      <c r="G226" s="111"/>
      <c r="H226" s="111"/>
    </row>
    <row r="227" ht="104.15000000000001" customHeight="1">
      <c r="A227" s="15" t="s">
        <v>131</v>
      </c>
      <c r="B227" s="19" t="s">
        <v>392</v>
      </c>
      <c r="C227" s="20" t="s">
        <v>82</v>
      </c>
      <c r="D227" s="15" t="s">
        <v>20</v>
      </c>
      <c r="E227" s="80"/>
      <c r="F227" s="112"/>
      <c r="G227" s="113"/>
      <c r="H227" s="113">
        <v>1160000</v>
      </c>
    </row>
    <row r="228" ht="43" customHeight="1">
      <c r="A228" s="15" t="s">
        <v>20</v>
      </c>
      <c r="B228" s="19" t="s">
        <v>393</v>
      </c>
      <c r="C228" s="20" t="s">
        <v>65</v>
      </c>
      <c r="D228" s="15" t="s">
        <v>394</v>
      </c>
      <c r="E228" s="80"/>
      <c r="F228" s="112"/>
      <c r="G228" s="113"/>
      <c r="H228" s="113">
        <v>86800</v>
      </c>
    </row>
    <row r="229" ht="63.649999999999999" customHeight="1">
      <c r="A229" s="15" t="s">
        <v>395</v>
      </c>
      <c r="B229" s="114" t="s">
        <v>396</v>
      </c>
      <c r="C229" s="115" t="s">
        <v>350</v>
      </c>
      <c r="D229" s="116" t="s">
        <v>397</v>
      </c>
      <c r="E229" s="117"/>
      <c r="F229" s="118"/>
      <c r="G229" s="119"/>
      <c r="H229" s="120" t="s">
        <v>398</v>
      </c>
    </row>
    <row r="230" ht="59.149999999999999" customHeight="1">
      <c r="A230" s="15" t="s">
        <v>92</v>
      </c>
      <c r="B230" s="121" t="s">
        <v>399</v>
      </c>
      <c r="C230" s="115" t="s">
        <v>65</v>
      </c>
      <c r="D230" s="115">
        <v>5</v>
      </c>
      <c r="E230" s="117"/>
      <c r="F230" s="118"/>
      <c r="G230" s="119"/>
      <c r="H230" s="120" t="s">
        <v>398</v>
      </c>
    </row>
    <row r="231" ht="60.649999999999999" customHeight="1">
      <c r="A231" s="15" t="s">
        <v>400</v>
      </c>
      <c r="B231" s="114" t="s">
        <v>401</v>
      </c>
      <c r="C231" s="115" t="s">
        <v>65</v>
      </c>
      <c r="D231" s="115">
        <v>12</v>
      </c>
      <c r="E231" s="117"/>
      <c r="F231" s="118"/>
      <c r="G231" s="119"/>
      <c r="H231" s="120" t="s">
        <v>398</v>
      </c>
    </row>
    <row r="232" ht="60.649999999999999" customHeight="1">
      <c r="A232" s="15" t="s">
        <v>117</v>
      </c>
      <c r="B232" s="114" t="s">
        <v>402</v>
      </c>
      <c r="C232" s="122" t="s">
        <v>65</v>
      </c>
      <c r="D232" s="123">
        <v>9</v>
      </c>
      <c r="E232" s="124"/>
      <c r="F232" s="124"/>
      <c r="G232" s="124"/>
      <c r="H232" s="120" t="s">
        <v>398</v>
      </c>
    </row>
    <row r="233" ht="55" customHeight="1">
      <c r="A233" s="15" t="s">
        <v>126</v>
      </c>
      <c r="B233" s="125" t="s">
        <v>403</v>
      </c>
      <c r="C233" s="126" t="s">
        <v>19</v>
      </c>
      <c r="D233" s="127">
        <v>1</v>
      </c>
      <c r="E233" s="128"/>
      <c r="F233" s="128"/>
      <c r="G233" s="113"/>
      <c r="H233" s="113">
        <v>355000</v>
      </c>
    </row>
    <row r="234" ht="60.649999999999999" customHeight="1">
      <c r="A234" s="15" t="s">
        <v>102</v>
      </c>
      <c r="B234" s="53" t="s">
        <v>404</v>
      </c>
      <c r="C234" s="29" t="s">
        <v>65</v>
      </c>
      <c r="D234" s="126">
        <v>12</v>
      </c>
      <c r="E234" s="80"/>
      <c r="F234" s="112"/>
      <c r="G234" s="113"/>
      <c r="H234" s="113">
        <v>124800</v>
      </c>
    </row>
    <row r="235" ht="56">
      <c r="A235" s="15" t="s">
        <v>405</v>
      </c>
      <c r="B235" s="129" t="s">
        <v>406</v>
      </c>
      <c r="C235" s="130" t="s">
        <v>65</v>
      </c>
      <c r="D235" s="130">
        <v>1</v>
      </c>
      <c r="E235" s="131"/>
      <c r="F235" s="132"/>
      <c r="G235" s="120"/>
      <c r="H235" s="120" t="s">
        <v>398</v>
      </c>
    </row>
    <row r="236" ht="84">
      <c r="A236" s="15" t="s">
        <v>407</v>
      </c>
      <c r="B236" s="16" t="s">
        <v>408</v>
      </c>
      <c r="C236" s="15" t="s">
        <v>409</v>
      </c>
      <c r="D236" s="133">
        <v>1</v>
      </c>
      <c r="E236" s="53"/>
      <c r="F236" s="54"/>
      <c r="G236" s="41"/>
      <c r="H236" s="31">
        <v>36201</v>
      </c>
    </row>
    <row r="237" ht="83.150000000000006" customHeight="1">
      <c r="A237" s="15" t="s">
        <v>410</v>
      </c>
      <c r="B237" s="16" t="s">
        <v>411</v>
      </c>
      <c r="C237" s="29" t="s">
        <v>65</v>
      </c>
      <c r="D237" s="15" t="s">
        <v>412</v>
      </c>
      <c r="E237" s="53"/>
      <c r="F237" s="54"/>
      <c r="G237" s="41"/>
      <c r="H237" s="31">
        <v>92400</v>
      </c>
    </row>
    <row r="238" ht="74.5" customHeight="1">
      <c r="A238" s="15" t="s">
        <v>413</v>
      </c>
      <c r="B238" s="16" t="s">
        <v>414</v>
      </c>
      <c r="C238" s="15" t="s">
        <v>409</v>
      </c>
      <c r="D238" s="133">
        <v>1</v>
      </c>
      <c r="E238" s="80"/>
      <c r="F238" s="112"/>
      <c r="G238" s="113"/>
      <c r="H238" s="113">
        <v>28666.799999999999</v>
      </c>
    </row>
    <row r="239" ht="147" customHeight="1">
      <c r="A239" s="15" t="s">
        <v>415</v>
      </c>
      <c r="B239" s="16" t="s">
        <v>416</v>
      </c>
      <c r="C239" s="15" t="s">
        <v>65</v>
      </c>
      <c r="D239" s="61" t="s">
        <v>131</v>
      </c>
      <c r="E239" s="80"/>
      <c r="F239" s="112"/>
      <c r="G239" s="113"/>
      <c r="H239" s="113">
        <v>403000</v>
      </c>
    </row>
    <row r="240" ht="89.150000000000006" customHeight="1">
      <c r="A240" s="15" t="s">
        <v>417</v>
      </c>
      <c r="B240" s="19" t="s">
        <v>418</v>
      </c>
      <c r="C240" s="15" t="s">
        <v>82</v>
      </c>
      <c r="D240" s="15" t="s">
        <v>131</v>
      </c>
      <c r="E240" s="134"/>
      <c r="F240" s="134"/>
      <c r="G240" s="134"/>
      <c r="H240" s="134">
        <v>24900</v>
      </c>
    </row>
    <row r="241" ht="42.649999999999999" customHeight="1">
      <c r="A241" s="15" t="s">
        <v>419</v>
      </c>
      <c r="B241" s="16" t="s">
        <v>420</v>
      </c>
      <c r="C241" s="20" t="s">
        <v>58</v>
      </c>
      <c r="D241" s="20">
        <v>1</v>
      </c>
      <c r="E241" s="60"/>
      <c r="F241" s="30"/>
      <c r="G241" s="40"/>
      <c r="H241" s="41">
        <v>180000</v>
      </c>
    </row>
    <row r="242" ht="63.649999999999999" customHeight="1">
      <c r="A242" s="15" t="s">
        <v>421</v>
      </c>
      <c r="B242" s="16" t="s">
        <v>422</v>
      </c>
      <c r="C242" s="15" t="s">
        <v>65</v>
      </c>
      <c r="D242" s="61" t="s">
        <v>131</v>
      </c>
      <c r="E242" s="60"/>
      <c r="F242" s="30"/>
      <c r="G242" s="40"/>
      <c r="H242" s="41">
        <v>40000</v>
      </c>
    </row>
    <row r="243" ht="60" customHeight="1">
      <c r="A243" s="15" t="s">
        <v>423</v>
      </c>
      <c r="B243" s="16" t="s">
        <v>424</v>
      </c>
      <c r="C243" s="15" t="s">
        <v>65</v>
      </c>
      <c r="D243" s="61" t="s">
        <v>20</v>
      </c>
      <c r="E243" s="60"/>
      <c r="F243" s="30"/>
      <c r="G243" s="40"/>
      <c r="H243" s="41">
        <v>120000</v>
      </c>
    </row>
    <row r="244" ht="48.649999999999999" customHeight="1">
      <c r="A244" s="15" t="s">
        <v>425</v>
      </c>
      <c r="B244" s="63" t="s">
        <v>426</v>
      </c>
      <c r="C244" s="15" t="s">
        <v>65</v>
      </c>
      <c r="D244" s="15" t="s">
        <v>131</v>
      </c>
      <c r="E244" s="60"/>
      <c r="F244" s="30"/>
      <c r="G244" s="40"/>
      <c r="H244" s="41">
        <v>29250</v>
      </c>
    </row>
    <row r="245" ht="73" customHeight="1">
      <c r="A245" s="15" t="s">
        <v>427</v>
      </c>
      <c r="B245" s="16" t="s">
        <v>428</v>
      </c>
      <c r="C245" s="15" t="s">
        <v>82</v>
      </c>
      <c r="D245" s="61" t="s">
        <v>131</v>
      </c>
      <c r="E245" s="60"/>
      <c r="F245" s="30"/>
      <c r="G245" s="40"/>
      <c r="H245" s="41">
        <v>9301.6000000000004</v>
      </c>
    </row>
    <row r="246" ht="33" customHeight="1">
      <c r="A246" s="15" t="s">
        <v>429</v>
      </c>
      <c r="B246" s="16" t="s">
        <v>430</v>
      </c>
      <c r="C246" s="15" t="s">
        <v>65</v>
      </c>
      <c r="D246" s="61" t="s">
        <v>431</v>
      </c>
      <c r="E246" s="60"/>
      <c r="F246" s="30"/>
      <c r="G246" s="40"/>
      <c r="H246" s="41">
        <v>51200</v>
      </c>
    </row>
    <row r="247" ht="104.5" customHeight="1">
      <c r="A247" s="15" t="s">
        <v>432</v>
      </c>
      <c r="B247" s="16" t="s">
        <v>433</v>
      </c>
      <c r="C247" s="15" t="s">
        <v>65</v>
      </c>
      <c r="D247" s="61" t="s">
        <v>434</v>
      </c>
      <c r="E247" s="60"/>
      <c r="F247" s="30"/>
      <c r="G247" s="40"/>
      <c r="H247" s="41">
        <v>80000</v>
      </c>
    </row>
    <row r="248" ht="31.5" customHeight="1">
      <c r="A248" s="15" t="s">
        <v>435</v>
      </c>
      <c r="B248" s="16" t="s">
        <v>436</v>
      </c>
      <c r="C248" s="15" t="s">
        <v>82</v>
      </c>
      <c r="D248" s="61" t="s">
        <v>131</v>
      </c>
      <c r="E248" s="60"/>
      <c r="F248" s="30"/>
      <c r="G248" s="40"/>
      <c r="H248" s="41">
        <v>60000</v>
      </c>
    </row>
    <row r="249" ht="42">
      <c r="A249" s="15" t="s">
        <v>437</v>
      </c>
      <c r="B249" s="135" t="s">
        <v>438</v>
      </c>
      <c r="C249" s="20" t="s">
        <v>65</v>
      </c>
      <c r="D249" s="15" t="s">
        <v>20</v>
      </c>
      <c r="E249" s="80"/>
      <c r="F249" s="82"/>
      <c r="G249" s="81"/>
      <c r="H249" s="81">
        <v>378478.09999999998</v>
      </c>
    </row>
    <row r="250" ht="98">
      <c r="A250" s="15" t="s">
        <v>439</v>
      </c>
      <c r="B250" s="135" t="s">
        <v>440</v>
      </c>
      <c r="C250" s="80" t="s">
        <v>350</v>
      </c>
      <c r="D250" s="80">
        <v>1</v>
      </c>
      <c r="E250" s="80"/>
      <c r="F250" s="82"/>
      <c r="G250" s="81"/>
      <c r="H250" s="81">
        <v>384995</v>
      </c>
    </row>
    <row r="251" ht="42">
      <c r="A251" s="15" t="s">
        <v>441</v>
      </c>
      <c r="B251" s="45" t="s">
        <v>442</v>
      </c>
      <c r="C251" s="20" t="s">
        <v>65</v>
      </c>
      <c r="D251" s="29">
        <v>2</v>
      </c>
      <c r="E251" s="112"/>
      <c r="F251" s="112"/>
      <c r="G251" s="113"/>
      <c r="H251" s="113">
        <v>83371.050000000003</v>
      </c>
    </row>
    <row r="252" ht="33.649999999999999" customHeight="1">
      <c r="A252" s="15" t="s">
        <v>443</v>
      </c>
      <c r="B252" s="45" t="s">
        <v>444</v>
      </c>
      <c r="C252" s="20" t="s">
        <v>65</v>
      </c>
      <c r="D252" s="29">
        <v>2</v>
      </c>
      <c r="E252" s="112"/>
      <c r="F252" s="112"/>
      <c r="G252" s="113"/>
      <c r="H252" s="113">
        <v>60000</v>
      </c>
    </row>
    <row r="253" ht="48" customHeight="1">
      <c r="A253" s="15" t="s">
        <v>445</v>
      </c>
      <c r="B253" s="89" t="s">
        <v>446</v>
      </c>
      <c r="C253" s="20" t="s">
        <v>65</v>
      </c>
      <c r="D253" s="29">
        <v>1</v>
      </c>
      <c r="E253" s="112"/>
      <c r="F253" s="112"/>
      <c r="G253" s="113"/>
      <c r="H253" s="113">
        <v>36127.449999999997</v>
      </c>
    </row>
    <row r="254" ht="46" customHeight="1">
      <c r="A254" s="15" t="s">
        <v>447</v>
      </c>
      <c r="B254" s="89" t="s">
        <v>448</v>
      </c>
      <c r="C254" s="20" t="s">
        <v>65</v>
      </c>
      <c r="D254" s="29">
        <v>1</v>
      </c>
      <c r="E254" s="112"/>
      <c r="F254" s="112"/>
      <c r="G254" s="113"/>
      <c r="H254" s="113">
        <v>36127.449999999997</v>
      </c>
    </row>
    <row r="255" ht="43.5" customHeight="1">
      <c r="A255" s="15" t="s">
        <v>449</v>
      </c>
      <c r="B255" s="53" t="s">
        <v>450</v>
      </c>
      <c r="C255" s="20" t="s">
        <v>65</v>
      </c>
      <c r="D255" s="29">
        <v>1</v>
      </c>
      <c r="E255" s="112"/>
      <c r="F255" s="112"/>
      <c r="G255" s="136"/>
      <c r="H255" s="136">
        <v>38211.730000000003</v>
      </c>
    </row>
    <row r="256" ht="42">
      <c r="A256" s="15" t="s">
        <v>451</v>
      </c>
      <c r="B256" s="89" t="s">
        <v>452</v>
      </c>
      <c r="C256" s="20" t="s">
        <v>65</v>
      </c>
      <c r="D256" s="29">
        <v>1</v>
      </c>
      <c r="E256" s="80"/>
      <c r="F256" s="82"/>
      <c r="G256" s="81"/>
      <c r="H256" s="113">
        <v>36127.449999999997</v>
      </c>
    </row>
    <row r="257" ht="42">
      <c r="A257" s="15" t="s">
        <v>453</v>
      </c>
      <c r="B257" s="89" t="s">
        <v>454</v>
      </c>
      <c r="C257" s="20" t="s">
        <v>65</v>
      </c>
      <c r="D257" s="29">
        <v>1</v>
      </c>
      <c r="E257" s="112"/>
      <c r="F257" s="112"/>
      <c r="G257" s="113"/>
      <c r="H257" s="113">
        <v>36127.449999999997</v>
      </c>
    </row>
    <row r="258" ht="56">
      <c r="A258" s="15" t="s">
        <v>455</v>
      </c>
      <c r="B258" s="89" t="s">
        <v>456</v>
      </c>
      <c r="C258" s="137" t="s">
        <v>65</v>
      </c>
      <c r="D258" s="138">
        <v>1</v>
      </c>
      <c r="E258" s="80"/>
      <c r="F258" s="112"/>
      <c r="G258" s="113"/>
      <c r="H258" s="139">
        <v>350000</v>
      </c>
    </row>
    <row r="259" ht="42">
      <c r="A259" s="15" t="s">
        <v>457</v>
      </c>
      <c r="B259" s="89" t="s">
        <v>458</v>
      </c>
      <c r="C259" s="20" t="s">
        <v>65</v>
      </c>
      <c r="D259" s="29">
        <v>1</v>
      </c>
      <c r="E259" s="80"/>
      <c r="F259" s="82"/>
      <c r="G259" s="81"/>
      <c r="H259" s="81">
        <v>200000</v>
      </c>
    </row>
    <row r="260" ht="56.149999999999999" customHeight="1">
      <c r="A260" s="15" t="s">
        <v>459</v>
      </c>
      <c r="B260" s="89" t="s">
        <v>460</v>
      </c>
      <c r="C260" s="137" t="s">
        <v>65</v>
      </c>
      <c r="D260" s="138">
        <v>4</v>
      </c>
      <c r="E260" s="112"/>
      <c r="F260" s="112"/>
      <c r="G260" s="41"/>
      <c r="H260" s="140">
        <v>268800</v>
      </c>
    </row>
    <row r="261" ht="72.650000000000006" customHeight="1">
      <c r="A261" s="15" t="s">
        <v>461</v>
      </c>
      <c r="B261" s="53" t="s">
        <v>462</v>
      </c>
      <c r="C261" s="20" t="s">
        <v>65</v>
      </c>
      <c r="D261" s="127">
        <v>1</v>
      </c>
      <c r="E261" s="112"/>
      <c r="F261" s="112"/>
      <c r="G261" s="113"/>
      <c r="H261" s="113">
        <v>140000</v>
      </c>
    </row>
    <row r="262" ht="69" customHeight="1">
      <c r="A262" s="15" t="s">
        <v>463</v>
      </c>
      <c r="B262" s="53" t="s">
        <v>464</v>
      </c>
      <c r="C262" s="20" t="s">
        <v>65</v>
      </c>
      <c r="D262" s="127">
        <v>1</v>
      </c>
      <c r="E262" s="112"/>
      <c r="F262" s="112"/>
      <c r="G262" s="136"/>
      <c r="H262" s="139">
        <v>44800</v>
      </c>
    </row>
    <row r="263" ht="70">
      <c r="A263" s="15" t="s">
        <v>465</v>
      </c>
      <c r="B263" s="89" t="s">
        <v>466</v>
      </c>
      <c r="C263" s="137" t="s">
        <v>65</v>
      </c>
      <c r="D263" s="80">
        <v>3</v>
      </c>
      <c r="E263" s="112"/>
      <c r="F263" s="112"/>
      <c r="G263" s="41"/>
      <c r="H263" s="140">
        <v>134400</v>
      </c>
    </row>
    <row r="264" ht="56">
      <c r="A264" s="15" t="s">
        <v>467</v>
      </c>
      <c r="B264" s="89" t="s">
        <v>468</v>
      </c>
      <c r="C264" s="137" t="s">
        <v>350</v>
      </c>
      <c r="D264" s="138">
        <v>2</v>
      </c>
      <c r="E264" s="91"/>
      <c r="F264" s="92"/>
      <c r="G264" s="91"/>
      <c r="H264" s="93">
        <v>108514.7</v>
      </c>
    </row>
    <row r="265" ht="56">
      <c r="A265" s="15" t="s">
        <v>469</v>
      </c>
      <c r="B265" s="89" t="s">
        <v>470</v>
      </c>
      <c r="C265" s="137" t="s">
        <v>19</v>
      </c>
      <c r="D265" s="138">
        <v>1</v>
      </c>
      <c r="E265" s="91"/>
      <c r="F265" s="92"/>
      <c r="G265" s="91"/>
      <c r="H265" s="93">
        <v>150000</v>
      </c>
    </row>
    <row r="266" ht="154">
      <c r="A266" s="15" t="s">
        <v>471</v>
      </c>
      <c r="B266" s="89" t="s">
        <v>472</v>
      </c>
      <c r="C266" s="20" t="s">
        <v>58</v>
      </c>
      <c r="D266" s="29">
        <v>2</v>
      </c>
      <c r="E266" s="29"/>
      <c r="F266" s="54"/>
      <c r="G266" s="41"/>
      <c r="H266" s="41">
        <v>6535200</v>
      </c>
    </row>
    <row r="267" ht="14">
      <c r="A267" s="141" t="s">
        <v>351</v>
      </c>
      <c r="B267" s="141"/>
      <c r="C267" s="141"/>
      <c r="D267" s="141"/>
      <c r="E267" s="141"/>
      <c r="F267" s="141"/>
      <c r="G267" s="141"/>
      <c r="H267" s="142">
        <f>SUM(H227:H266)</f>
        <v>11902799.780000001</v>
      </c>
    </row>
    <row r="268" ht="13" customHeight="1">
      <c r="A268" s="141" t="s">
        <v>352</v>
      </c>
      <c r="B268" s="141"/>
      <c r="C268" s="141"/>
      <c r="D268" s="141"/>
      <c r="E268" s="141"/>
      <c r="F268" s="141"/>
      <c r="G268" s="141"/>
      <c r="H268" s="142">
        <f>H267*0.2</f>
        <v>2380559.9560000002</v>
      </c>
    </row>
    <row r="269" ht="14.15" customHeight="1">
      <c r="A269" s="141" t="s">
        <v>351</v>
      </c>
      <c r="B269" s="141"/>
      <c r="C269" s="141"/>
      <c r="D269" s="141"/>
      <c r="E269" s="141"/>
      <c r="F269" s="141"/>
      <c r="G269" s="141"/>
      <c r="H269" s="142">
        <f>SUM(H267:H268)</f>
        <v>14283359.736000001</v>
      </c>
    </row>
    <row r="270" ht="14.15" customHeight="1">
      <c r="A270" s="143"/>
      <c r="B270" s="143"/>
      <c r="C270" s="143"/>
      <c r="D270" s="143"/>
      <c r="E270" s="143"/>
      <c r="F270" s="143"/>
      <c r="G270" s="143"/>
      <c r="H270" s="143"/>
    </row>
    <row r="271" ht="14.15" customHeight="1">
      <c r="A271" s="144" t="s">
        <v>473</v>
      </c>
      <c r="B271" s="144"/>
      <c r="C271" s="144"/>
      <c r="D271" s="144"/>
      <c r="E271" s="144"/>
      <c r="F271" s="144"/>
      <c r="G271" s="144"/>
      <c r="H271" s="144"/>
    </row>
    <row r="272" ht="14.15" customHeight="1">
      <c r="A272" s="145" t="s">
        <v>474</v>
      </c>
      <c r="B272" s="145"/>
      <c r="C272" s="145"/>
      <c r="D272" s="145"/>
      <c r="E272" s="145"/>
      <c r="F272" s="145"/>
      <c r="G272" s="145"/>
      <c r="H272" s="102">
        <f>H176</f>
        <v>16926601.704</v>
      </c>
    </row>
    <row r="273" ht="14.15" customHeight="1">
      <c r="A273" s="145" t="s">
        <v>475</v>
      </c>
      <c r="B273" s="145"/>
      <c r="C273" s="145"/>
      <c r="D273" s="145"/>
      <c r="E273" s="145"/>
      <c r="F273" s="145"/>
      <c r="G273" s="145"/>
      <c r="H273" s="102">
        <f>H212</f>
        <v>2738959.4579999996</v>
      </c>
    </row>
    <row r="274" ht="14.15" customHeight="1">
      <c r="A274" s="145" t="s">
        <v>476</v>
      </c>
      <c r="B274" s="145"/>
      <c r="C274" s="145"/>
      <c r="D274" s="145"/>
      <c r="E274" s="145"/>
      <c r="F274" s="145"/>
      <c r="G274" s="145"/>
      <c r="H274" s="102">
        <f>H224</f>
        <v>765879.35999999987</v>
      </c>
    </row>
    <row r="275" ht="14.15" customHeight="1">
      <c r="A275" s="145" t="s">
        <v>477</v>
      </c>
      <c r="B275" s="145"/>
      <c r="C275" s="145"/>
      <c r="D275" s="145"/>
      <c r="E275" s="145"/>
      <c r="F275" s="145"/>
      <c r="G275" s="145"/>
      <c r="H275" s="146">
        <f>H269</f>
        <v>14283359.736000001</v>
      </c>
    </row>
    <row r="276" ht="14.15" customHeight="1">
      <c r="A276" s="145" t="s">
        <v>478</v>
      </c>
      <c r="B276" s="145"/>
      <c r="C276" s="145"/>
      <c r="D276" s="145"/>
      <c r="E276" s="145"/>
      <c r="F276" s="145"/>
      <c r="G276" s="145"/>
      <c r="H276" s="146">
        <f>H272-H273-H274+H275</f>
        <v>27705122.622000001</v>
      </c>
      <c r="I276" s="147"/>
      <c r="J276" s="148"/>
    </row>
    <row r="277" ht="12.65" customHeight="1">
      <c r="A277" s="149" t="s">
        <v>479</v>
      </c>
      <c r="B277" s="150"/>
      <c r="C277" s="150"/>
      <c r="D277" s="150"/>
      <c r="E277" s="150"/>
      <c r="F277" s="150"/>
      <c r="G277" s="150"/>
      <c r="H277" s="150"/>
    </row>
    <row r="278">
      <c r="A278" s="150"/>
      <c r="B278" s="150"/>
      <c r="C278" s="150"/>
      <c r="D278" s="150"/>
      <c r="E278" s="150"/>
      <c r="F278" s="150"/>
      <c r="G278" s="150"/>
      <c r="H278" s="150"/>
    </row>
    <row r="279" ht="13.15" customHeight="1">
      <c r="A279" s="150"/>
      <c r="B279" s="150"/>
      <c r="C279" s="150"/>
      <c r="D279" s="150"/>
      <c r="E279" s="150"/>
      <c r="F279" s="150"/>
      <c r="G279" s="150"/>
      <c r="H279" s="150"/>
    </row>
    <row r="280" ht="13.15" customHeight="1">
      <c r="A280" s="150"/>
      <c r="B280" s="150"/>
      <c r="C280" s="150"/>
      <c r="D280" s="150"/>
      <c r="E280" s="150"/>
      <c r="F280" s="150"/>
      <c r="G280" s="150"/>
      <c r="H280" s="150"/>
    </row>
    <row r="281" ht="13.15" customHeight="1">
      <c r="A281" s="150"/>
      <c r="B281" s="150"/>
      <c r="C281" s="150"/>
      <c r="D281" s="150"/>
      <c r="E281" s="150"/>
      <c r="F281" s="150"/>
      <c r="G281" s="150"/>
      <c r="H281" s="150"/>
    </row>
    <row r="282" ht="13.15" customHeight="1">
      <c r="A282" s="151"/>
      <c r="B282" s="152"/>
      <c r="C282" s="151"/>
      <c r="D282" s="153"/>
      <c r="E282" s="153"/>
      <c r="F282" s="153"/>
      <c r="G282" s="153"/>
      <c r="H282" s="154"/>
    </row>
    <row r="283" ht="13.15" customHeight="1">
      <c r="A283" s="155" t="s">
        <v>480</v>
      </c>
      <c r="B283" s="155"/>
      <c r="C283" s="151"/>
      <c r="D283" s="153"/>
      <c r="G283" s="152" t="s">
        <v>481</v>
      </c>
      <c r="H283" s="152"/>
      <c r="I283" s="155"/>
    </row>
    <row r="284" ht="14">
      <c r="A284" s="155" t="s">
        <v>482</v>
      </c>
      <c r="B284" s="155"/>
      <c r="C284" s="151"/>
      <c r="D284" s="153"/>
      <c r="G284" s="155" t="s">
        <v>483</v>
      </c>
      <c r="H284" s="155"/>
      <c r="I284" s="155"/>
    </row>
    <row r="285" ht="14">
      <c r="A285" s="155" t="s">
        <v>484</v>
      </c>
      <c r="B285" s="155"/>
      <c r="C285" s="151"/>
      <c r="D285" s="153"/>
      <c r="G285" s="155" t="s">
        <v>485</v>
      </c>
      <c r="H285" s="155"/>
      <c r="I285" s="153"/>
    </row>
    <row r="286" ht="14">
      <c r="A286" s="151"/>
      <c r="B286" s="152"/>
      <c r="C286" s="151"/>
      <c r="D286" s="153"/>
      <c r="G286" s="151"/>
      <c r="H286" s="153"/>
      <c r="I286" s="153"/>
    </row>
    <row r="287" ht="14">
      <c r="A287" s="156" t="s">
        <v>486</v>
      </c>
      <c r="B287" s="155"/>
      <c r="C287" s="151"/>
      <c r="D287" s="153"/>
      <c r="G287" s="156" t="s">
        <v>487</v>
      </c>
      <c r="H287" s="155"/>
      <c r="I287" s="155"/>
    </row>
    <row r="288" ht="14">
      <c r="A288" s="151"/>
      <c r="B288" s="152"/>
      <c r="C288" s="151"/>
      <c r="D288" s="153"/>
      <c r="G288" s="153"/>
      <c r="H288" s="153"/>
      <c r="I288" s="153"/>
    </row>
    <row r="289" ht="14">
      <c r="A289" s="157"/>
      <c r="B289" s="158"/>
      <c r="C289" s="157"/>
      <c r="D289" s="159"/>
      <c r="E289" s="159"/>
      <c r="F289" s="159"/>
      <c r="G289" s="159"/>
      <c r="H289" s="159"/>
    </row>
    <row r="290" ht="14">
      <c r="A290" s="157"/>
      <c r="B290" s="158"/>
      <c r="C290" s="157"/>
      <c r="D290" s="159"/>
      <c r="E290" s="159"/>
      <c r="F290" s="159"/>
      <c r="G290" s="159"/>
      <c r="H290" s="159"/>
    </row>
  </sheetData>
  <mergeCells count="51">
    <mergeCell ref="H190:H192"/>
    <mergeCell ref="A272:G272"/>
    <mergeCell ref="A273:G273"/>
    <mergeCell ref="A274:G274"/>
    <mergeCell ref="A210:G210"/>
    <mergeCell ref="A211:G211"/>
    <mergeCell ref="A212:G212"/>
    <mergeCell ref="A213:H213"/>
    <mergeCell ref="A287:B287"/>
    <mergeCell ref="A275:G275"/>
    <mergeCell ref="A276:G276"/>
    <mergeCell ref="A277:H281"/>
    <mergeCell ref="A285:B285"/>
    <mergeCell ref="A284:B284"/>
    <mergeCell ref="A283:B283"/>
    <mergeCell ref="G1:H1"/>
    <mergeCell ref="G2:H2"/>
    <mergeCell ref="F7:H7"/>
    <mergeCell ref="C10:C11"/>
    <mergeCell ref="D10:D11"/>
    <mergeCell ref="E10:F10"/>
    <mergeCell ref="A4:H4"/>
    <mergeCell ref="A5:H5"/>
    <mergeCell ref="A9:H9"/>
    <mergeCell ref="G10:G11"/>
    <mergeCell ref="H10:H11"/>
    <mergeCell ref="B10:B11"/>
    <mergeCell ref="A10:A11"/>
    <mergeCell ref="A12:H12"/>
    <mergeCell ref="B225:H225"/>
    <mergeCell ref="A269:G269"/>
    <mergeCell ref="A268:G268"/>
    <mergeCell ref="A271:H271"/>
    <mergeCell ref="A174:G174"/>
    <mergeCell ref="A175:G175"/>
    <mergeCell ref="A176:G176"/>
    <mergeCell ref="A267:G267"/>
    <mergeCell ref="A270:H270"/>
    <mergeCell ref="A177:H177"/>
    <mergeCell ref="A178:H178"/>
    <mergeCell ref="A222:G222"/>
    <mergeCell ref="A223:G223"/>
    <mergeCell ref="A224:G224"/>
    <mergeCell ref="A214:H214"/>
    <mergeCell ref="H65:H70"/>
    <mergeCell ref="H80:H82"/>
    <mergeCell ref="H28:H38"/>
    <mergeCell ref="G28:G38"/>
    <mergeCell ref="H40:H43"/>
    <mergeCell ref="G40:G43"/>
    <mergeCell ref="H52:H63"/>
  </mergeCells>
  <printOptions headings="0" gridLines="0"/>
  <pageMargins left="0.39370078740157477" right="0.19685039370078738" top="0.39370078740157477" bottom="0.19685039370078738" header="0" footer="0"/>
  <pageSetup paperSize="9" scale="94" fitToWidth="1" fitToHeight="0" pageOrder="downThenOver" orientation="landscape" usePrinterDefaults="1" blackAndWhite="0" draft="0" cellComments="none" useFirstPageNumber="0" errors="displayed" horizontalDpi="300" verticalDpi="600" copies="1"/>
  <headerFooter/>
  <rowBreaks count="21" manualBreakCount="21">
    <brk id="30" man="1" max="7"/>
    <brk id="40" man="1" max="7"/>
    <brk id="51" man="1" max="7"/>
    <brk id="63" man="1" max="7"/>
    <brk id="73" man="1" max="7"/>
    <brk id="86" man="1" max="7"/>
    <brk id="96" man="1" max="7"/>
    <brk id="107" man="1" max="7"/>
    <brk id="116" man="1" max="7"/>
    <brk id="131" man="1" max="7"/>
    <brk id="148" man="1" max="7"/>
    <brk id="161" man="1" max="7"/>
    <brk id="178" man="1" max="7"/>
    <brk id="189" man="1" max="7"/>
    <brk id="200" man="1" max="7"/>
    <brk id="214" man="1" max="7"/>
    <brk id="226" man="1" max="7"/>
    <brk id="236" man="1" max="7"/>
    <brk id="243" man="1" max="7"/>
    <brk id="253" man="1" max="7"/>
    <brk id="263" man="1" max="7"/>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view="pageBreakPreview" zoomScale="90" workbookViewId="0">
      <selection activeCell="D199" activeCellId="0" sqref="D199"/>
    </sheetView>
  </sheetViews>
  <sheetFormatPr defaultColWidth="9.1796875" defaultRowHeight="12.75"/>
  <cols>
    <col customWidth="1" min="1" max="1" style="2" width="9.1796875"/>
    <col customWidth="1" min="2" max="2" style="3" width="64.54296875"/>
    <col customWidth="1" min="3" max="3" style="2" width="10.54296875"/>
    <col customWidth="1" min="4" max="4" style="4" width="9.7265625"/>
    <col customWidth="1" min="5" max="5" style="4" width="14.26953125"/>
    <col customWidth="1" min="6" max="6" style="4" width="12.81640625"/>
    <col bestFit="1" customWidth="1" min="7" max="7" style="4" width="15.26953125"/>
    <col bestFit="1" customWidth="1" min="8" max="8" style="160" width="21.81640625"/>
    <col customWidth="1" min="9" max="9" style="1" width="15.26953125"/>
    <col min="10" max="16384" style="1" width="9.1796875"/>
  </cols>
  <sheetData>
    <row r="1" ht="14.25">
      <c r="A1" s="161"/>
      <c r="B1" s="162"/>
      <c r="C1" s="161"/>
      <c r="D1" s="163"/>
      <c r="E1" s="163"/>
      <c r="F1" s="164" t="s">
        <v>488</v>
      </c>
      <c r="G1" s="164"/>
      <c r="H1" s="164"/>
      <c r="I1" s="165"/>
    </row>
    <row r="2" ht="14.25">
      <c r="A2" s="161"/>
      <c r="B2" s="162"/>
      <c r="C2" s="161"/>
      <c r="D2" s="163"/>
      <c r="E2" s="163"/>
      <c r="F2" s="164" t="s">
        <v>489</v>
      </c>
      <c r="G2" s="164"/>
      <c r="H2" s="164"/>
      <c r="I2" s="165"/>
    </row>
    <row r="3" ht="13">
      <c r="A3" s="161"/>
      <c r="B3" s="162"/>
      <c r="C3" s="161"/>
      <c r="D3" s="163"/>
      <c r="E3" s="163"/>
      <c r="F3" s="163"/>
      <c r="G3" s="163"/>
      <c r="H3" s="166"/>
      <c r="I3" s="165"/>
    </row>
    <row r="4" ht="30.75" customHeight="1">
      <c r="A4" s="167" t="s">
        <v>490</v>
      </c>
      <c r="B4" s="167"/>
      <c r="C4" s="167"/>
      <c r="D4" s="167"/>
      <c r="E4" s="167"/>
      <c r="F4" s="167"/>
      <c r="G4" s="167"/>
      <c r="H4" s="167"/>
      <c r="I4" s="165"/>
    </row>
    <row r="5" ht="13.5">
      <c r="A5" s="161"/>
      <c r="B5" s="162"/>
      <c r="C5" s="161"/>
      <c r="D5" s="163"/>
      <c r="E5" s="163"/>
      <c r="F5" s="163"/>
      <c r="G5" s="168"/>
      <c r="H5" s="168"/>
      <c r="I5" s="165"/>
    </row>
    <row r="6" ht="72">
      <c r="A6" s="169" t="s">
        <v>491</v>
      </c>
      <c r="B6" s="170" t="s">
        <v>492</v>
      </c>
      <c r="C6" s="171" t="s">
        <v>493</v>
      </c>
      <c r="D6" s="171" t="s">
        <v>494</v>
      </c>
      <c r="E6" s="171" t="s">
        <v>495</v>
      </c>
      <c r="F6" s="171" t="s">
        <v>496</v>
      </c>
      <c r="G6" s="172" t="s">
        <v>497</v>
      </c>
      <c r="H6" s="171" t="s">
        <v>498</v>
      </c>
      <c r="I6" s="173" t="s">
        <v>499</v>
      </c>
    </row>
    <row r="7" ht="13">
      <c r="A7" s="174" t="s">
        <v>131</v>
      </c>
      <c r="B7" s="175" t="s">
        <v>20</v>
      </c>
      <c r="C7" s="176"/>
      <c r="D7" s="176"/>
      <c r="E7" s="176"/>
      <c r="F7" s="177"/>
      <c r="G7" s="178"/>
      <c r="H7" s="179"/>
      <c r="I7" s="179"/>
    </row>
    <row r="8" ht="17.25">
      <c r="A8" s="180" t="s">
        <v>16</v>
      </c>
      <c r="B8" s="181"/>
      <c r="C8" s="181"/>
      <c r="D8" s="181"/>
      <c r="E8" s="181"/>
      <c r="F8" s="181"/>
      <c r="G8" s="181"/>
      <c r="H8" s="181"/>
      <c r="I8" s="181"/>
    </row>
    <row r="9" ht="71.25">
      <c r="A9" s="38" t="s">
        <v>17</v>
      </c>
      <c r="B9" s="34" t="s">
        <v>18</v>
      </c>
      <c r="C9" s="38" t="s">
        <v>19</v>
      </c>
      <c r="D9" s="38" t="s">
        <v>20</v>
      </c>
      <c r="E9" s="35" t="s">
        <v>500</v>
      </c>
      <c r="F9" s="182"/>
      <c r="G9" s="183">
        <f t="shared" ref="G9:G14" si="0">H9/D9</f>
        <v>9950</v>
      </c>
      <c r="H9" s="184">
        <v>19900</v>
      </c>
      <c r="I9" s="185"/>
    </row>
    <row r="10" ht="28.5">
      <c r="A10" s="38" t="s">
        <v>22</v>
      </c>
      <c r="B10" s="32" t="s">
        <v>23</v>
      </c>
      <c r="C10" s="28" t="s">
        <v>24</v>
      </c>
      <c r="D10" s="28">
        <v>1.6000000000000001</v>
      </c>
      <c r="E10" s="35" t="s">
        <v>500</v>
      </c>
      <c r="F10" s="182"/>
      <c r="G10" s="183">
        <f t="shared" si="0"/>
        <v>19900</v>
      </c>
      <c r="H10" s="184">
        <v>31840</v>
      </c>
      <c r="I10" s="185"/>
    </row>
    <row r="11" ht="42.75">
      <c r="A11" s="38" t="s">
        <v>26</v>
      </c>
      <c r="B11" s="32" t="s">
        <v>27</v>
      </c>
      <c r="C11" s="28" t="s">
        <v>19</v>
      </c>
      <c r="D11" s="28">
        <v>1</v>
      </c>
      <c r="E11" s="35" t="s">
        <v>500</v>
      </c>
      <c r="F11" s="186"/>
      <c r="G11" s="183">
        <f t="shared" si="0"/>
        <v>19900</v>
      </c>
      <c r="H11" s="184">
        <v>19900</v>
      </c>
      <c r="I11" s="185"/>
    </row>
    <row r="12" ht="28.5">
      <c r="A12" s="38" t="s">
        <v>29</v>
      </c>
      <c r="B12" s="32" t="s">
        <v>30</v>
      </c>
      <c r="C12" s="28" t="s">
        <v>24</v>
      </c>
      <c r="D12" s="28">
        <v>1.6000000000000001</v>
      </c>
      <c r="E12" s="35" t="s">
        <v>500</v>
      </c>
      <c r="F12" s="182"/>
      <c r="G12" s="183">
        <f t="shared" si="0"/>
        <v>19900</v>
      </c>
      <c r="H12" s="184">
        <v>31840</v>
      </c>
      <c r="I12" s="185"/>
    </row>
    <row r="13" ht="28.5">
      <c r="A13" s="38" t="s">
        <v>31</v>
      </c>
      <c r="B13" s="32" t="s">
        <v>32</v>
      </c>
      <c r="C13" s="28" t="s">
        <v>24</v>
      </c>
      <c r="D13" s="28">
        <v>1</v>
      </c>
      <c r="E13" s="35" t="s">
        <v>500</v>
      </c>
      <c r="F13" s="182"/>
      <c r="G13" s="183">
        <f t="shared" si="0"/>
        <v>19900</v>
      </c>
      <c r="H13" s="184">
        <v>19900</v>
      </c>
      <c r="I13" s="185"/>
    </row>
    <row r="14" ht="28.5">
      <c r="A14" s="38" t="s">
        <v>33</v>
      </c>
      <c r="B14" s="32" t="s">
        <v>34</v>
      </c>
      <c r="C14" s="28" t="s">
        <v>24</v>
      </c>
      <c r="D14" s="28">
        <v>1.3999999999999999</v>
      </c>
      <c r="E14" s="35" t="s">
        <v>500</v>
      </c>
      <c r="F14" s="182"/>
      <c r="G14" s="183">
        <f t="shared" si="0"/>
        <v>19900</v>
      </c>
      <c r="H14" s="184">
        <v>27860</v>
      </c>
      <c r="I14" s="185"/>
    </row>
    <row r="15" ht="28.5">
      <c r="A15" s="38" t="s">
        <v>36</v>
      </c>
      <c r="B15" s="32" t="s">
        <v>37</v>
      </c>
      <c r="C15" s="28" t="s">
        <v>24</v>
      </c>
      <c r="D15" s="28">
        <v>2.1000000000000001</v>
      </c>
      <c r="E15" s="35" t="s">
        <v>500</v>
      </c>
      <c r="F15" s="182"/>
      <c r="G15" s="183">
        <f t="shared" ref="G15:G78" si="1">H15/D15</f>
        <v>19900</v>
      </c>
      <c r="H15" s="184">
        <v>41790</v>
      </c>
      <c r="I15" s="185"/>
    </row>
    <row r="16" ht="57">
      <c r="A16" s="38" t="s">
        <v>39</v>
      </c>
      <c r="B16" s="34" t="s">
        <v>40</v>
      </c>
      <c r="C16" s="28" t="s">
        <v>19</v>
      </c>
      <c r="D16" s="28">
        <v>20</v>
      </c>
      <c r="E16" s="35" t="s">
        <v>500</v>
      </c>
      <c r="F16" s="182"/>
      <c r="G16" s="183">
        <f t="shared" si="1"/>
        <v>19900</v>
      </c>
      <c r="H16" s="184">
        <v>398000</v>
      </c>
      <c r="I16" s="185"/>
    </row>
    <row r="17" ht="42.75">
      <c r="A17" s="38" t="s">
        <v>42</v>
      </c>
      <c r="B17" s="34" t="s">
        <v>43</v>
      </c>
      <c r="C17" s="28" t="s">
        <v>19</v>
      </c>
      <c r="D17" s="28">
        <v>1</v>
      </c>
      <c r="E17" s="35" t="s">
        <v>500</v>
      </c>
      <c r="F17" s="182"/>
      <c r="G17" s="183">
        <f t="shared" si="1"/>
        <v>19900</v>
      </c>
      <c r="H17" s="184">
        <v>19900</v>
      </c>
      <c r="I17" s="185"/>
    </row>
    <row r="18" ht="57">
      <c r="A18" s="38" t="s">
        <v>44</v>
      </c>
      <c r="B18" s="32" t="s">
        <v>45</v>
      </c>
      <c r="C18" s="28" t="s">
        <v>19</v>
      </c>
      <c r="D18" s="28">
        <v>12</v>
      </c>
      <c r="E18" s="35" t="s">
        <v>500</v>
      </c>
      <c r="F18" s="182"/>
      <c r="G18" s="183">
        <f t="shared" si="1"/>
        <v>19900</v>
      </c>
      <c r="H18" s="184">
        <v>238800</v>
      </c>
      <c r="I18" s="185"/>
    </row>
    <row r="19" ht="28.5">
      <c r="A19" s="38" t="s">
        <v>50</v>
      </c>
      <c r="B19" s="32" t="s">
        <v>51</v>
      </c>
      <c r="C19" s="28" t="s">
        <v>19</v>
      </c>
      <c r="D19" s="28">
        <v>1</v>
      </c>
      <c r="E19" s="35" t="s">
        <v>500</v>
      </c>
      <c r="F19" s="182"/>
      <c r="G19" s="183">
        <f t="shared" si="1"/>
        <v>19900</v>
      </c>
      <c r="H19" s="184">
        <v>19900</v>
      </c>
      <c r="I19" s="185"/>
    </row>
    <row r="20" ht="28.5">
      <c r="A20" s="38" t="s">
        <v>52</v>
      </c>
      <c r="B20" s="32" t="s">
        <v>53</v>
      </c>
      <c r="C20" s="28" t="s">
        <v>54</v>
      </c>
      <c r="D20" s="28">
        <v>2</v>
      </c>
      <c r="E20" s="35" t="s">
        <v>500</v>
      </c>
      <c r="F20" s="182"/>
      <c r="G20" s="183">
        <f t="shared" si="1"/>
        <v>19900</v>
      </c>
      <c r="H20" s="184">
        <v>39800</v>
      </c>
      <c r="I20" s="185"/>
    </row>
    <row r="21" s="0" customFormat="1" ht="14.25">
      <c r="A21" s="38"/>
      <c r="B21" s="187" t="s">
        <v>60</v>
      </c>
      <c r="C21" s="188"/>
      <c r="D21" s="188"/>
      <c r="E21" s="188"/>
      <c r="F21" s="189"/>
      <c r="G21" s="190"/>
      <c r="H21" s="191"/>
      <c r="I21" s="185"/>
    </row>
    <row r="22" s="0" customFormat="1" ht="71.25">
      <c r="A22" s="192" t="s">
        <v>61</v>
      </c>
      <c r="B22" s="27" t="s">
        <v>62</v>
      </c>
      <c r="C22" s="28" t="s">
        <v>19</v>
      </c>
      <c r="D22" s="28">
        <v>2</v>
      </c>
      <c r="E22" s="35" t="s">
        <v>500</v>
      </c>
      <c r="F22" s="193"/>
      <c r="G22" s="194">
        <f t="shared" si="1"/>
        <v>1094500</v>
      </c>
      <c r="H22" s="195">
        <v>2189000</v>
      </c>
      <c r="I22" s="185"/>
    </row>
    <row r="23" s="0" customFormat="1" ht="99.75">
      <c r="A23" s="38" t="s">
        <v>63</v>
      </c>
      <c r="B23" s="32" t="s">
        <v>64</v>
      </c>
      <c r="C23" s="28" t="s">
        <v>65</v>
      </c>
      <c r="D23" s="28">
        <v>2</v>
      </c>
      <c r="E23" s="35" t="s">
        <v>500</v>
      </c>
      <c r="F23" s="193"/>
      <c r="G23" s="196"/>
      <c r="H23" s="197"/>
      <c r="I23" s="185"/>
    </row>
    <row r="24" s="0" customFormat="1" ht="85.5">
      <c r="A24" s="38" t="s">
        <v>66</v>
      </c>
      <c r="B24" s="34" t="s">
        <v>67</v>
      </c>
      <c r="C24" s="28" t="s">
        <v>65</v>
      </c>
      <c r="D24" s="28">
        <v>12</v>
      </c>
      <c r="E24" s="35" t="s">
        <v>500</v>
      </c>
      <c r="F24" s="193"/>
      <c r="G24" s="196"/>
      <c r="H24" s="197"/>
      <c r="I24" s="185"/>
    </row>
    <row r="25" ht="42.75">
      <c r="A25" s="38" t="s">
        <v>68</v>
      </c>
      <c r="B25" s="32" t="s">
        <v>69</v>
      </c>
      <c r="C25" s="28" t="s">
        <v>65</v>
      </c>
      <c r="D25" s="28">
        <v>12</v>
      </c>
      <c r="E25" s="35" t="s">
        <v>500</v>
      </c>
      <c r="F25" s="193"/>
      <c r="G25" s="196"/>
      <c r="H25" s="197"/>
      <c r="I25" s="185"/>
    </row>
    <row r="26" s="0" customFormat="1" ht="57">
      <c r="A26" s="38" t="s">
        <v>70</v>
      </c>
      <c r="B26" s="32" t="s">
        <v>71</v>
      </c>
      <c r="C26" s="35" t="s">
        <v>65</v>
      </c>
      <c r="D26" s="36">
        <v>12</v>
      </c>
      <c r="E26" s="35" t="s">
        <v>500</v>
      </c>
      <c r="F26" s="193"/>
      <c r="G26" s="196"/>
      <c r="H26" s="197"/>
      <c r="I26" s="185"/>
    </row>
    <row r="27" s="0" customFormat="1" ht="28.5">
      <c r="A27" s="38" t="s">
        <v>72</v>
      </c>
      <c r="B27" s="32" t="s">
        <v>73</v>
      </c>
      <c r="C27" s="35" t="s">
        <v>65</v>
      </c>
      <c r="D27" s="36">
        <v>14</v>
      </c>
      <c r="E27" s="35" t="s">
        <v>500</v>
      </c>
      <c r="F27" s="193"/>
      <c r="G27" s="196"/>
      <c r="H27" s="197"/>
      <c r="I27" s="185"/>
    </row>
    <row r="28" s="0" customFormat="1" ht="28.5">
      <c r="A28" s="38" t="s">
        <v>74</v>
      </c>
      <c r="B28" s="32" t="s">
        <v>75</v>
      </c>
      <c r="C28" s="35" t="s">
        <v>65</v>
      </c>
      <c r="D28" s="36">
        <v>12</v>
      </c>
      <c r="E28" s="35" t="s">
        <v>500</v>
      </c>
      <c r="F28" s="193"/>
      <c r="G28" s="196"/>
      <c r="H28" s="197"/>
      <c r="I28" s="185"/>
    </row>
    <row r="29" s="0" customFormat="1" ht="57">
      <c r="A29" s="38" t="s">
        <v>76</v>
      </c>
      <c r="B29" s="32" t="s">
        <v>77</v>
      </c>
      <c r="C29" s="35" t="s">
        <v>65</v>
      </c>
      <c r="D29" s="36">
        <v>2</v>
      </c>
      <c r="E29" s="35" t="s">
        <v>500</v>
      </c>
      <c r="F29" s="193"/>
      <c r="G29" s="196"/>
      <c r="H29" s="197"/>
      <c r="I29" s="185"/>
    </row>
    <row r="30" s="0" customFormat="1" ht="85.5">
      <c r="A30" s="38" t="s">
        <v>78</v>
      </c>
      <c r="B30" s="32" t="s">
        <v>79</v>
      </c>
      <c r="C30" s="35" t="s">
        <v>65</v>
      </c>
      <c r="D30" s="36">
        <v>2</v>
      </c>
      <c r="E30" s="35" t="s">
        <v>500</v>
      </c>
      <c r="F30" s="193"/>
      <c r="G30" s="196"/>
      <c r="H30" s="197"/>
      <c r="I30" s="185"/>
    </row>
    <row r="31" s="0" customFormat="1" ht="42.75">
      <c r="A31" s="198" t="s">
        <v>80</v>
      </c>
      <c r="B31" s="27" t="s">
        <v>81</v>
      </c>
      <c r="C31" s="28" t="s">
        <v>82</v>
      </c>
      <c r="D31" s="28">
        <v>2</v>
      </c>
      <c r="E31" s="35" t="s">
        <v>500</v>
      </c>
      <c r="F31" s="193"/>
      <c r="G31" s="196"/>
      <c r="H31" s="197"/>
      <c r="I31" s="185"/>
    </row>
    <row r="32" s="0" customFormat="1" ht="28.5">
      <c r="A32" s="198" t="s">
        <v>83</v>
      </c>
      <c r="B32" s="34" t="s">
        <v>84</v>
      </c>
      <c r="C32" s="38" t="s">
        <v>65</v>
      </c>
      <c r="D32" s="38" t="s">
        <v>20</v>
      </c>
      <c r="E32" s="35" t="s">
        <v>500</v>
      </c>
      <c r="F32" s="193"/>
      <c r="G32" s="199"/>
      <c r="H32" s="200"/>
      <c r="I32" s="185"/>
    </row>
    <row r="33" s="0" customFormat="1" ht="99.75">
      <c r="A33" s="38" t="s">
        <v>85</v>
      </c>
      <c r="B33" s="34" t="s">
        <v>86</v>
      </c>
      <c r="C33" s="28" t="s">
        <v>65</v>
      </c>
      <c r="D33" s="28">
        <v>2</v>
      </c>
      <c r="E33" s="35" t="s">
        <v>500</v>
      </c>
      <c r="F33" s="193"/>
      <c r="G33" s="201">
        <f t="shared" si="1"/>
        <v>99500</v>
      </c>
      <c r="H33" s="184">
        <v>199000</v>
      </c>
      <c r="I33" s="185"/>
    </row>
    <row r="34" s="0" customFormat="1" ht="99.75">
      <c r="A34" s="38" t="s">
        <v>87</v>
      </c>
      <c r="B34" s="43" t="s">
        <v>88</v>
      </c>
      <c r="C34" s="38" t="s">
        <v>65</v>
      </c>
      <c r="D34" s="38" t="s">
        <v>20</v>
      </c>
      <c r="E34" s="35" t="s">
        <v>500</v>
      </c>
      <c r="F34" s="193"/>
      <c r="G34" s="194" t="s">
        <v>89</v>
      </c>
      <c r="H34" s="195" t="s">
        <v>89</v>
      </c>
      <c r="I34" s="185"/>
    </row>
    <row r="35" s="0" customFormat="1" ht="99.75">
      <c r="A35" s="38" t="s">
        <v>90</v>
      </c>
      <c r="B35" s="43" t="s">
        <v>91</v>
      </c>
      <c r="C35" s="35" t="s">
        <v>65</v>
      </c>
      <c r="D35" s="35" t="s">
        <v>92</v>
      </c>
      <c r="E35" s="35" t="s">
        <v>500</v>
      </c>
      <c r="F35" s="193"/>
      <c r="G35" s="196"/>
      <c r="H35" s="197"/>
      <c r="I35" s="185"/>
    </row>
    <row r="36" s="0" customFormat="1" ht="28.5">
      <c r="A36" s="38" t="s">
        <v>93</v>
      </c>
      <c r="B36" s="43" t="s">
        <v>94</v>
      </c>
      <c r="C36" s="35" t="s">
        <v>65</v>
      </c>
      <c r="D36" s="35" t="s">
        <v>92</v>
      </c>
      <c r="E36" s="35" t="s">
        <v>500</v>
      </c>
      <c r="F36" s="193"/>
      <c r="G36" s="196"/>
      <c r="H36" s="197"/>
      <c r="I36" s="185"/>
    </row>
    <row r="37" s="0" customFormat="1" ht="14.25">
      <c r="A37" s="38" t="s">
        <v>95</v>
      </c>
      <c r="B37" s="34" t="s">
        <v>96</v>
      </c>
      <c r="C37" s="35" t="s">
        <v>65</v>
      </c>
      <c r="D37" s="35" t="s">
        <v>20</v>
      </c>
      <c r="E37" s="35" t="s">
        <v>500</v>
      </c>
      <c r="F37" s="193"/>
      <c r="G37" s="199"/>
      <c r="H37" s="200"/>
      <c r="I37" s="185"/>
    </row>
    <row r="38" s="0" customFormat="1" ht="42.75">
      <c r="A38" s="198" t="s">
        <v>97</v>
      </c>
      <c r="B38" s="44" t="s">
        <v>98</v>
      </c>
      <c r="C38" s="28" t="s">
        <v>65</v>
      </c>
      <c r="D38" s="28">
        <v>14</v>
      </c>
      <c r="E38" s="35" t="s">
        <v>500</v>
      </c>
      <c r="F38" s="193"/>
      <c r="G38" s="201">
        <f t="shared" si="1"/>
        <v>4975</v>
      </c>
      <c r="H38" s="184">
        <v>69650</v>
      </c>
      <c r="I38" s="185"/>
    </row>
    <row r="39" s="0" customFormat="1" ht="28.5">
      <c r="A39" s="38" t="s">
        <v>100</v>
      </c>
      <c r="B39" s="44" t="s">
        <v>101</v>
      </c>
      <c r="C39" s="38" t="s">
        <v>65</v>
      </c>
      <c r="D39" s="38" t="s">
        <v>102</v>
      </c>
      <c r="E39" s="35" t="s">
        <v>500</v>
      </c>
      <c r="F39" s="193"/>
      <c r="G39" s="201">
        <f t="shared" si="1"/>
        <v>4975</v>
      </c>
      <c r="H39" s="184">
        <v>39800</v>
      </c>
      <c r="I39" s="185"/>
    </row>
    <row r="40" s="0" customFormat="1" ht="57">
      <c r="A40" s="38" t="s">
        <v>103</v>
      </c>
      <c r="B40" s="34" t="s">
        <v>104</v>
      </c>
      <c r="C40" s="35" t="s">
        <v>65</v>
      </c>
      <c r="D40" s="35" t="s">
        <v>20</v>
      </c>
      <c r="E40" s="35" t="s">
        <v>500</v>
      </c>
      <c r="F40" s="193"/>
      <c r="G40" s="201"/>
      <c r="H40" s="202" t="s">
        <v>89</v>
      </c>
      <c r="I40" s="185"/>
    </row>
    <row r="41" s="0" customFormat="1" ht="42.75">
      <c r="A41" s="38" t="s">
        <v>105</v>
      </c>
      <c r="B41" s="34" t="s">
        <v>106</v>
      </c>
      <c r="C41" s="35" t="s">
        <v>65</v>
      </c>
      <c r="D41" s="35" t="s">
        <v>20</v>
      </c>
      <c r="E41" s="35" t="s">
        <v>500</v>
      </c>
      <c r="F41" s="193"/>
      <c r="G41" s="201">
        <f t="shared" si="1"/>
        <v>99500</v>
      </c>
      <c r="H41" s="184">
        <v>199000</v>
      </c>
      <c r="I41" s="185"/>
    </row>
    <row r="42" s="0" customFormat="1" ht="71.25">
      <c r="A42" s="38" t="s">
        <v>107</v>
      </c>
      <c r="B42" s="27" t="s">
        <v>108</v>
      </c>
      <c r="C42" s="35" t="s">
        <v>65</v>
      </c>
      <c r="D42" s="35" t="s">
        <v>20</v>
      </c>
      <c r="E42" s="35" t="s">
        <v>500</v>
      </c>
      <c r="F42" s="193"/>
      <c r="G42" s="201">
        <f t="shared" si="1"/>
        <v>149250</v>
      </c>
      <c r="H42" s="184">
        <v>298500</v>
      </c>
      <c r="I42" s="185"/>
    </row>
    <row r="43" s="0" customFormat="1" ht="14.25">
      <c r="A43" s="38"/>
      <c r="B43" s="203" t="s">
        <v>109</v>
      </c>
      <c r="C43" s="204"/>
      <c r="D43" s="75"/>
      <c r="E43" s="205"/>
      <c r="F43" s="75"/>
      <c r="G43" s="201"/>
      <c r="H43" s="202"/>
      <c r="I43" s="185"/>
    </row>
    <row r="44" s="0" customFormat="1" ht="185.25">
      <c r="A44" s="38" t="s">
        <v>110</v>
      </c>
      <c r="B44" s="52" t="s">
        <v>111</v>
      </c>
      <c r="C44" s="28" t="s">
        <v>19</v>
      </c>
      <c r="D44" s="28">
        <v>2</v>
      </c>
      <c r="E44" s="35" t="s">
        <v>500</v>
      </c>
      <c r="F44" s="206"/>
      <c r="G44" s="201">
        <f t="shared" si="1"/>
        <v>199000</v>
      </c>
      <c r="H44" s="184">
        <v>398000</v>
      </c>
      <c r="I44" s="185"/>
    </row>
    <row r="45" s="0" customFormat="1" ht="14.25">
      <c r="A45" s="38"/>
      <c r="B45" s="203" t="s">
        <v>112</v>
      </c>
      <c r="C45" s="207"/>
      <c r="D45" s="207"/>
      <c r="E45" s="207"/>
      <c r="F45" s="208"/>
      <c r="G45" s="209"/>
      <c r="H45" s="210"/>
      <c r="I45" s="185"/>
    </row>
    <row r="46" s="0" customFormat="1" ht="57">
      <c r="A46" s="211" t="s">
        <v>113</v>
      </c>
      <c r="B46" s="212" t="s">
        <v>114</v>
      </c>
      <c r="C46" s="28" t="s">
        <v>65</v>
      </c>
      <c r="D46" s="28">
        <v>1</v>
      </c>
      <c r="E46" s="35" t="s">
        <v>500</v>
      </c>
      <c r="F46" s="193"/>
      <c r="G46" s="194">
        <v>597000</v>
      </c>
      <c r="H46" s="195">
        <v>597000</v>
      </c>
      <c r="I46" s="185"/>
    </row>
    <row r="47" ht="85.5">
      <c r="A47" s="38" t="s">
        <v>115</v>
      </c>
      <c r="B47" s="34" t="s">
        <v>116</v>
      </c>
      <c r="C47" s="38" t="s">
        <v>65</v>
      </c>
      <c r="D47" s="38" t="s">
        <v>117</v>
      </c>
      <c r="E47" s="35" t="s">
        <v>500</v>
      </c>
      <c r="F47" s="193"/>
      <c r="G47" s="196"/>
      <c r="H47" s="197"/>
      <c r="I47" s="185"/>
    </row>
    <row r="48" ht="85.5">
      <c r="A48" s="38" t="s">
        <v>118</v>
      </c>
      <c r="B48" s="34" t="s">
        <v>119</v>
      </c>
      <c r="C48" s="38" t="s">
        <v>65</v>
      </c>
      <c r="D48" s="38" t="s">
        <v>117</v>
      </c>
      <c r="E48" s="35" t="s">
        <v>500</v>
      </c>
      <c r="F48" s="193"/>
      <c r="G48" s="196"/>
      <c r="H48" s="197"/>
      <c r="I48" s="185"/>
    </row>
    <row r="49" ht="42.75">
      <c r="A49" s="38" t="s">
        <v>120</v>
      </c>
      <c r="B49" s="34" t="s">
        <v>121</v>
      </c>
      <c r="C49" s="38" t="s">
        <v>65</v>
      </c>
      <c r="D49" s="213" t="s">
        <v>117</v>
      </c>
      <c r="E49" s="35" t="s">
        <v>500</v>
      </c>
      <c r="F49" s="193"/>
      <c r="G49" s="196"/>
      <c r="H49" s="197"/>
      <c r="I49" s="185"/>
    </row>
    <row r="50" ht="28.5">
      <c r="A50" s="38" t="s">
        <v>122</v>
      </c>
      <c r="B50" s="34" t="s">
        <v>123</v>
      </c>
      <c r="C50" s="38" t="s">
        <v>65</v>
      </c>
      <c r="D50" s="38" t="s">
        <v>117</v>
      </c>
      <c r="E50" s="35" t="s">
        <v>500</v>
      </c>
      <c r="F50" s="193"/>
      <c r="G50" s="196"/>
      <c r="H50" s="197"/>
      <c r="I50" s="185"/>
    </row>
    <row r="51" ht="28.5">
      <c r="A51" s="38" t="s">
        <v>124</v>
      </c>
      <c r="B51" s="34" t="s">
        <v>125</v>
      </c>
      <c r="C51" s="38" t="s">
        <v>65</v>
      </c>
      <c r="D51" s="213" t="s">
        <v>126</v>
      </c>
      <c r="E51" s="35" t="s">
        <v>500</v>
      </c>
      <c r="F51" s="193"/>
      <c r="G51" s="196"/>
      <c r="H51" s="197"/>
      <c r="I51" s="185"/>
    </row>
    <row r="52" ht="28.5">
      <c r="A52" s="38" t="s">
        <v>127</v>
      </c>
      <c r="B52" s="34" t="s">
        <v>128</v>
      </c>
      <c r="C52" s="38" t="s">
        <v>65</v>
      </c>
      <c r="D52" s="213" t="s">
        <v>117</v>
      </c>
      <c r="E52" s="35" t="s">
        <v>500</v>
      </c>
      <c r="F52" s="193"/>
      <c r="G52" s="196"/>
      <c r="H52" s="197"/>
      <c r="I52" s="185"/>
    </row>
    <row r="53" ht="42.75">
      <c r="A53" s="38" t="s">
        <v>129</v>
      </c>
      <c r="B53" s="34" t="s">
        <v>130</v>
      </c>
      <c r="C53" s="38" t="s">
        <v>65</v>
      </c>
      <c r="D53" s="213" t="s">
        <v>131</v>
      </c>
      <c r="E53" s="35" t="s">
        <v>500</v>
      </c>
      <c r="F53" s="193"/>
      <c r="G53" s="196"/>
      <c r="H53" s="197"/>
      <c r="I53" s="185"/>
    </row>
    <row r="54" ht="57">
      <c r="A54" s="38" t="s">
        <v>132</v>
      </c>
      <c r="B54" s="34" t="s">
        <v>133</v>
      </c>
      <c r="C54" s="38" t="s">
        <v>65</v>
      </c>
      <c r="D54" s="213" t="s">
        <v>131</v>
      </c>
      <c r="E54" s="35" t="s">
        <v>500</v>
      </c>
      <c r="F54" s="193"/>
      <c r="G54" s="196"/>
      <c r="H54" s="197"/>
      <c r="I54" s="185"/>
    </row>
    <row r="55" ht="85.5">
      <c r="A55" s="38" t="s">
        <v>134</v>
      </c>
      <c r="B55" s="34" t="s">
        <v>135</v>
      </c>
      <c r="C55" s="38" t="s">
        <v>65</v>
      </c>
      <c r="D55" s="38" t="s">
        <v>131</v>
      </c>
      <c r="E55" s="35" t="s">
        <v>500</v>
      </c>
      <c r="F55" s="193"/>
      <c r="G55" s="196"/>
      <c r="H55" s="197"/>
      <c r="I55" s="185"/>
    </row>
    <row r="56" ht="34" customHeight="1">
      <c r="A56" s="38" t="s">
        <v>136</v>
      </c>
      <c r="B56" s="32" t="s">
        <v>137</v>
      </c>
      <c r="C56" s="38" t="s">
        <v>82</v>
      </c>
      <c r="D56" s="38" t="s">
        <v>131</v>
      </c>
      <c r="E56" s="35" t="s">
        <v>500</v>
      </c>
      <c r="F56" s="193"/>
      <c r="G56" s="196"/>
      <c r="H56" s="197"/>
      <c r="I56" s="185"/>
    </row>
    <row r="57" ht="28.5">
      <c r="A57" s="38" t="s">
        <v>138</v>
      </c>
      <c r="B57" s="214" t="s">
        <v>139</v>
      </c>
      <c r="C57" s="38" t="s">
        <v>65</v>
      </c>
      <c r="D57" s="38" t="s">
        <v>131</v>
      </c>
      <c r="E57" s="35" t="s">
        <v>500</v>
      </c>
      <c r="F57" s="193"/>
      <c r="G57" s="196"/>
      <c r="H57" s="197"/>
      <c r="I57" s="185"/>
    </row>
    <row r="58" ht="71.25">
      <c r="A58" s="38" t="s">
        <v>140</v>
      </c>
      <c r="B58" s="34" t="s">
        <v>141</v>
      </c>
      <c r="C58" s="28" t="s">
        <v>65</v>
      </c>
      <c r="D58" s="28">
        <v>1</v>
      </c>
      <c r="E58" s="35" t="s">
        <v>500</v>
      </c>
      <c r="F58" s="193"/>
      <c r="G58" s="201">
        <f t="shared" si="1"/>
        <v>149250</v>
      </c>
      <c r="H58" s="184">
        <v>149250</v>
      </c>
      <c r="I58" s="185"/>
    </row>
    <row r="59" ht="42.75">
      <c r="A59" s="38" t="s">
        <v>142</v>
      </c>
      <c r="B59" s="34" t="s">
        <v>143</v>
      </c>
      <c r="C59" s="38" t="s">
        <v>65</v>
      </c>
      <c r="D59" s="38" t="s">
        <v>117</v>
      </c>
      <c r="E59" s="35" t="s">
        <v>500</v>
      </c>
      <c r="F59" s="193"/>
      <c r="G59" s="194" t="s">
        <v>89</v>
      </c>
      <c r="H59" s="195" t="s">
        <v>89</v>
      </c>
      <c r="I59" s="185"/>
    </row>
    <row r="60" ht="85.5">
      <c r="A60" s="38" t="s">
        <v>144</v>
      </c>
      <c r="B60" s="34" t="s">
        <v>145</v>
      </c>
      <c r="C60" s="38" t="s">
        <v>65</v>
      </c>
      <c r="D60" s="213" t="s">
        <v>131</v>
      </c>
      <c r="E60" s="35" t="s">
        <v>500</v>
      </c>
      <c r="F60" s="193"/>
      <c r="G60" s="196"/>
      <c r="H60" s="197"/>
      <c r="I60" s="185"/>
    </row>
    <row r="61" ht="85.5">
      <c r="A61" s="38" t="s">
        <v>146</v>
      </c>
      <c r="B61" s="34" t="s">
        <v>147</v>
      </c>
      <c r="C61" s="38" t="s">
        <v>65</v>
      </c>
      <c r="D61" s="213" t="s">
        <v>20</v>
      </c>
      <c r="E61" s="35" t="s">
        <v>500</v>
      </c>
      <c r="F61" s="193"/>
      <c r="G61" s="196"/>
      <c r="H61" s="197"/>
      <c r="I61" s="185"/>
    </row>
    <row r="62" ht="48.649999999999999" customHeight="1">
      <c r="A62" s="38" t="s">
        <v>148</v>
      </c>
      <c r="B62" s="215" t="s">
        <v>149</v>
      </c>
      <c r="C62" s="38" t="s">
        <v>65</v>
      </c>
      <c r="D62" s="38" t="s">
        <v>131</v>
      </c>
      <c r="E62" s="35" t="s">
        <v>500</v>
      </c>
      <c r="F62" s="193"/>
      <c r="G62" s="196"/>
      <c r="H62" s="197"/>
      <c r="I62" s="185"/>
    </row>
    <row r="63" ht="28.5">
      <c r="A63" s="65" t="s">
        <v>150</v>
      </c>
      <c r="B63" s="34" t="s">
        <v>151</v>
      </c>
      <c r="C63" s="65" t="s">
        <v>65</v>
      </c>
      <c r="D63" s="216">
        <v>1</v>
      </c>
      <c r="E63" s="35" t="s">
        <v>500</v>
      </c>
      <c r="F63" s="193"/>
      <c r="G63" s="196"/>
      <c r="H63" s="197"/>
      <c r="I63" s="185"/>
    </row>
    <row r="64" ht="57">
      <c r="A64" s="217" t="s">
        <v>152</v>
      </c>
      <c r="B64" s="218" t="s">
        <v>153</v>
      </c>
      <c r="C64" s="28" t="s">
        <v>65</v>
      </c>
      <c r="D64" s="28">
        <v>1</v>
      </c>
      <c r="E64" s="35" t="s">
        <v>500</v>
      </c>
      <c r="F64" s="193"/>
      <c r="G64" s="199"/>
      <c r="H64" s="200"/>
      <c r="I64" s="185"/>
    </row>
    <row r="65" ht="28">
      <c r="A65" s="38" t="s">
        <v>154</v>
      </c>
      <c r="B65" s="212" t="s">
        <v>155</v>
      </c>
      <c r="C65" s="38" t="s">
        <v>65</v>
      </c>
      <c r="D65" s="38" t="s">
        <v>131</v>
      </c>
      <c r="E65" s="35" t="s">
        <v>500</v>
      </c>
      <c r="F65" s="193"/>
      <c r="G65" s="201">
        <f t="shared" si="1"/>
        <v>99500</v>
      </c>
      <c r="H65" s="184">
        <v>99500</v>
      </c>
      <c r="I65" s="185"/>
    </row>
    <row r="66" ht="28">
      <c r="A66" s="38" t="s">
        <v>156</v>
      </c>
      <c r="B66" s="212" t="s">
        <v>157</v>
      </c>
      <c r="C66" s="38" t="s">
        <v>65</v>
      </c>
      <c r="D66" s="38" t="s">
        <v>131</v>
      </c>
      <c r="E66" s="35" t="s">
        <v>500</v>
      </c>
      <c r="F66" s="193"/>
      <c r="G66" s="201">
        <f t="shared" si="1"/>
        <v>199000</v>
      </c>
      <c r="H66" s="184">
        <v>199000</v>
      </c>
      <c r="I66" s="185"/>
    </row>
    <row r="67" ht="70">
      <c r="A67" s="38" t="s">
        <v>160</v>
      </c>
      <c r="B67" s="34" t="s">
        <v>161</v>
      </c>
      <c r="C67" s="38" t="s">
        <v>65</v>
      </c>
      <c r="D67" s="38" t="s">
        <v>131</v>
      </c>
      <c r="E67" s="35" t="s">
        <v>500</v>
      </c>
      <c r="F67" s="193"/>
      <c r="G67" s="201">
        <f t="shared" si="1"/>
        <v>149250</v>
      </c>
      <c r="H67" s="184">
        <v>149250</v>
      </c>
      <c r="I67" s="185"/>
    </row>
    <row r="68" ht="42">
      <c r="A68" s="38" t="s">
        <v>162</v>
      </c>
      <c r="B68" s="34" t="s">
        <v>143</v>
      </c>
      <c r="C68" s="38" t="s">
        <v>65</v>
      </c>
      <c r="D68" s="38" t="s">
        <v>117</v>
      </c>
      <c r="E68" s="35" t="s">
        <v>500</v>
      </c>
      <c r="F68" s="193"/>
      <c r="G68" s="201">
        <f t="shared" si="1"/>
        <v>4975</v>
      </c>
      <c r="H68" s="184">
        <v>29850</v>
      </c>
      <c r="I68" s="185"/>
    </row>
    <row r="69" ht="28">
      <c r="A69" s="38" t="s">
        <v>163</v>
      </c>
      <c r="B69" s="212" t="s">
        <v>164</v>
      </c>
      <c r="C69" s="38" t="s">
        <v>65</v>
      </c>
      <c r="D69" s="38" t="s">
        <v>131</v>
      </c>
      <c r="E69" s="35" t="s">
        <v>500</v>
      </c>
      <c r="F69" s="193"/>
      <c r="G69" s="201">
        <f t="shared" si="1"/>
        <v>99500</v>
      </c>
      <c r="H69" s="184">
        <v>99500</v>
      </c>
      <c r="I69" s="185"/>
    </row>
    <row r="70" ht="14">
      <c r="A70" s="38" t="s">
        <v>165</v>
      </c>
      <c r="B70" s="219" t="s">
        <v>166</v>
      </c>
      <c r="C70" s="35"/>
      <c r="D70" s="28"/>
      <c r="E70" s="188"/>
      <c r="F70" s="189"/>
      <c r="G70" s="190"/>
      <c r="H70" s="220"/>
      <c r="I70" s="185"/>
    </row>
    <row r="71" ht="56">
      <c r="A71" s="38" t="s">
        <v>167</v>
      </c>
      <c r="B71" s="27" t="s">
        <v>168</v>
      </c>
      <c r="C71" s="28" t="s">
        <v>65</v>
      </c>
      <c r="D71" s="75">
        <v>2</v>
      </c>
      <c r="E71" s="35" t="s">
        <v>500</v>
      </c>
      <c r="F71" s="193"/>
      <c r="G71" s="201">
        <f t="shared" si="1"/>
        <v>19900</v>
      </c>
      <c r="H71" s="184">
        <v>39800</v>
      </c>
      <c r="I71" s="185"/>
    </row>
    <row r="72" ht="14">
      <c r="A72" s="38"/>
      <c r="B72" s="187" t="s">
        <v>169</v>
      </c>
      <c r="C72" s="188"/>
      <c r="D72" s="188"/>
      <c r="E72" s="188"/>
      <c r="F72" s="189"/>
      <c r="G72" s="190"/>
      <c r="H72" s="220"/>
      <c r="I72" s="185"/>
    </row>
    <row r="73" ht="70">
      <c r="A73" s="38" t="s">
        <v>170</v>
      </c>
      <c r="B73" s="27" t="s">
        <v>171</v>
      </c>
      <c r="C73" s="75" t="s">
        <v>65</v>
      </c>
      <c r="D73" s="75">
        <v>2</v>
      </c>
      <c r="E73" s="35" t="s">
        <v>500</v>
      </c>
      <c r="F73" s="206"/>
      <c r="G73" s="194">
        <f t="shared" si="1"/>
        <v>218900</v>
      </c>
      <c r="H73" s="195">
        <v>437800</v>
      </c>
      <c r="I73" s="185"/>
    </row>
    <row r="74" ht="70">
      <c r="A74" s="38" t="s">
        <v>172</v>
      </c>
      <c r="B74" s="27" t="s">
        <v>173</v>
      </c>
      <c r="C74" s="75" t="s">
        <v>65</v>
      </c>
      <c r="D74" s="75">
        <v>2</v>
      </c>
      <c r="E74" s="35" t="s">
        <v>500</v>
      </c>
      <c r="F74" s="206"/>
      <c r="G74" s="196"/>
      <c r="H74" s="197"/>
      <c r="I74" s="185"/>
    </row>
    <row r="75" ht="42">
      <c r="A75" s="38" t="s">
        <v>174</v>
      </c>
      <c r="B75" s="27" t="s">
        <v>175</v>
      </c>
      <c r="C75" s="77" t="s">
        <v>65</v>
      </c>
      <c r="D75" s="28">
        <v>4</v>
      </c>
      <c r="E75" s="35" t="s">
        <v>500</v>
      </c>
      <c r="F75" s="206"/>
      <c r="G75" s="199"/>
      <c r="H75" s="200"/>
      <c r="I75" s="185"/>
    </row>
    <row r="76" ht="42">
      <c r="A76" s="38" t="s">
        <v>176</v>
      </c>
      <c r="B76" s="78" t="s">
        <v>177</v>
      </c>
      <c r="C76" s="77" t="s">
        <v>65</v>
      </c>
      <c r="D76" s="28">
        <v>4</v>
      </c>
      <c r="E76" s="35" t="s">
        <v>500</v>
      </c>
      <c r="F76" s="206"/>
      <c r="G76" s="201">
        <f t="shared" si="1"/>
        <v>4975</v>
      </c>
      <c r="H76" s="184">
        <v>19900</v>
      </c>
      <c r="I76" s="185"/>
    </row>
    <row r="77" ht="14">
      <c r="A77" s="38"/>
      <c r="B77" s="187" t="s">
        <v>178</v>
      </c>
      <c r="C77" s="188"/>
      <c r="D77" s="188"/>
      <c r="E77" s="188"/>
      <c r="F77" s="189"/>
      <c r="G77" s="190"/>
      <c r="H77" s="220"/>
      <c r="I77" s="185"/>
    </row>
    <row r="78" ht="56">
      <c r="A78" s="38" t="s">
        <v>179</v>
      </c>
      <c r="B78" s="27" t="s">
        <v>180</v>
      </c>
      <c r="C78" s="77" t="s">
        <v>19</v>
      </c>
      <c r="D78" s="28">
        <v>3</v>
      </c>
      <c r="E78" s="35" t="s">
        <v>500</v>
      </c>
      <c r="F78" s="206"/>
      <c r="G78" s="201">
        <f t="shared" si="1"/>
        <v>30845</v>
      </c>
      <c r="H78" s="184">
        <v>92535</v>
      </c>
      <c r="I78" s="185"/>
    </row>
    <row r="79" ht="56">
      <c r="A79" s="38" t="s">
        <v>181</v>
      </c>
      <c r="B79" s="27" t="s">
        <v>182</v>
      </c>
      <c r="C79" s="77" t="s">
        <v>65</v>
      </c>
      <c r="D79" s="28">
        <v>1</v>
      </c>
      <c r="E79" s="35" t="s">
        <v>500</v>
      </c>
      <c r="F79" s="206"/>
      <c r="G79" s="201">
        <f t="shared" ref="G79:G98" si="2">H79/D79</f>
        <v>18905</v>
      </c>
      <c r="H79" s="184">
        <v>18905</v>
      </c>
      <c r="I79" s="185"/>
    </row>
    <row r="80" ht="56">
      <c r="A80" s="38" t="s">
        <v>183</v>
      </c>
      <c r="B80" s="27" t="s">
        <v>184</v>
      </c>
      <c r="C80" s="77" t="s">
        <v>65</v>
      </c>
      <c r="D80" s="28">
        <v>1</v>
      </c>
      <c r="E80" s="35" t="s">
        <v>500</v>
      </c>
      <c r="F80" s="206"/>
      <c r="G80" s="201">
        <f t="shared" si="2"/>
        <v>25870</v>
      </c>
      <c r="H80" s="184">
        <v>25870</v>
      </c>
      <c r="I80" s="185"/>
    </row>
    <row r="81" ht="70">
      <c r="A81" s="38" t="s">
        <v>185</v>
      </c>
      <c r="B81" s="27" t="s">
        <v>186</v>
      </c>
      <c r="C81" s="77" t="s">
        <v>65</v>
      </c>
      <c r="D81" s="28">
        <v>5</v>
      </c>
      <c r="E81" s="35" t="s">
        <v>500</v>
      </c>
      <c r="F81" s="206"/>
      <c r="G81" s="201">
        <f t="shared" si="2"/>
        <v>21342.749473684213</v>
      </c>
      <c r="H81" s="184">
        <v>106713.74736842106</v>
      </c>
      <c r="I81" s="185"/>
    </row>
    <row r="82" ht="70">
      <c r="A82" s="38" t="s">
        <v>187</v>
      </c>
      <c r="B82" s="27" t="s">
        <v>188</v>
      </c>
      <c r="C82" s="77" t="s">
        <v>65</v>
      </c>
      <c r="D82" s="77">
        <v>5</v>
      </c>
      <c r="E82" s="35" t="s">
        <v>500</v>
      </c>
      <c r="F82" s="206"/>
      <c r="G82" s="201">
        <f t="shared" si="2"/>
        <v>21342.749473684213</v>
      </c>
      <c r="H82" s="184">
        <v>106713.74736842106</v>
      </c>
      <c r="I82" s="185"/>
    </row>
    <row r="83" ht="70">
      <c r="A83" s="38" t="s">
        <v>189</v>
      </c>
      <c r="B83" s="27" t="s">
        <v>190</v>
      </c>
      <c r="C83" s="77" t="s">
        <v>65</v>
      </c>
      <c r="D83" s="77">
        <v>5</v>
      </c>
      <c r="E83" s="35" t="s">
        <v>500</v>
      </c>
      <c r="F83" s="206"/>
      <c r="G83" s="201">
        <f t="shared" si="2"/>
        <v>19661.200000000001</v>
      </c>
      <c r="H83" s="184">
        <v>98306</v>
      </c>
      <c r="I83" s="185"/>
    </row>
    <row r="84" ht="70">
      <c r="A84" s="38" t="s">
        <v>191</v>
      </c>
      <c r="B84" s="27" t="s">
        <v>192</v>
      </c>
      <c r="C84" s="77" t="s">
        <v>65</v>
      </c>
      <c r="D84" s="77">
        <v>4</v>
      </c>
      <c r="E84" s="35" t="s">
        <v>500</v>
      </c>
      <c r="F84" s="206"/>
      <c r="G84" s="201">
        <f t="shared" si="2"/>
        <v>16298.1</v>
      </c>
      <c r="H84" s="184">
        <v>65192.400000000001</v>
      </c>
      <c r="I84" s="185"/>
    </row>
    <row r="85" ht="70">
      <c r="A85" s="38" t="s">
        <v>193</v>
      </c>
      <c r="B85" s="27" t="s">
        <v>194</v>
      </c>
      <c r="C85" s="77" t="s">
        <v>65</v>
      </c>
      <c r="D85" s="77">
        <v>6</v>
      </c>
      <c r="E85" s="35" t="s">
        <v>500</v>
      </c>
      <c r="F85" s="206"/>
      <c r="G85" s="201">
        <f t="shared" si="2"/>
        <v>15625.480701754388</v>
      </c>
      <c r="H85" s="184">
        <v>93752.884210526332</v>
      </c>
      <c r="I85" s="185"/>
    </row>
    <row r="86" ht="14">
      <c r="A86" s="38"/>
      <c r="B86" s="187" t="s">
        <v>195</v>
      </c>
      <c r="C86" s="188"/>
      <c r="D86" s="188"/>
      <c r="E86" s="188"/>
      <c r="F86" s="189"/>
      <c r="G86" s="190"/>
      <c r="H86" s="220"/>
      <c r="I86" s="185"/>
    </row>
    <row r="87" ht="56">
      <c r="A87" s="38" t="s">
        <v>196</v>
      </c>
      <c r="B87" s="27" t="s">
        <v>197</v>
      </c>
      <c r="C87" s="28" t="s">
        <v>65</v>
      </c>
      <c r="D87" s="75">
        <v>2</v>
      </c>
      <c r="E87" s="35" t="s">
        <v>500</v>
      </c>
      <c r="F87" s="204"/>
      <c r="G87" s="201">
        <f t="shared" si="2"/>
        <v>41790</v>
      </c>
      <c r="H87" s="184">
        <v>83580</v>
      </c>
      <c r="I87" s="185"/>
    </row>
    <row r="88" ht="56">
      <c r="A88" s="38" t="s">
        <v>198</v>
      </c>
      <c r="B88" s="78" t="s">
        <v>199</v>
      </c>
      <c r="C88" s="28" t="s">
        <v>65</v>
      </c>
      <c r="D88" s="75">
        <v>1</v>
      </c>
      <c r="E88" s="35" t="s">
        <v>500</v>
      </c>
      <c r="F88" s="221"/>
      <c r="G88" s="201">
        <f t="shared" si="2"/>
        <v>36218</v>
      </c>
      <c r="H88" s="184">
        <v>36218</v>
      </c>
      <c r="I88" s="185"/>
    </row>
    <row r="89" ht="56">
      <c r="A89" s="38" t="s">
        <v>200</v>
      </c>
      <c r="B89" s="78" t="s">
        <v>201</v>
      </c>
      <c r="C89" s="28" t="s">
        <v>65</v>
      </c>
      <c r="D89" s="75">
        <v>1</v>
      </c>
      <c r="E89" s="35" t="s">
        <v>500</v>
      </c>
      <c r="F89" s="221"/>
      <c r="G89" s="201">
        <f t="shared" si="2"/>
        <v>36218</v>
      </c>
      <c r="H89" s="184">
        <v>36218</v>
      </c>
      <c r="I89" s="185"/>
    </row>
    <row r="90" ht="42">
      <c r="A90" s="38" t="s">
        <v>202</v>
      </c>
      <c r="B90" s="78" t="s">
        <v>203</v>
      </c>
      <c r="C90" s="28" t="s">
        <v>65</v>
      </c>
      <c r="D90" s="75">
        <v>1</v>
      </c>
      <c r="E90" s="35" t="s">
        <v>500</v>
      </c>
      <c r="F90" s="221"/>
      <c r="G90" s="201">
        <f t="shared" si="2"/>
        <v>38307.505263157895</v>
      </c>
      <c r="H90" s="184">
        <v>38307.505263157895</v>
      </c>
      <c r="I90" s="185"/>
    </row>
    <row r="91" ht="70">
      <c r="A91" s="38" t="s">
        <v>204</v>
      </c>
      <c r="B91" s="78" t="s">
        <v>205</v>
      </c>
      <c r="C91" s="28" t="s">
        <v>65</v>
      </c>
      <c r="D91" s="75">
        <v>1</v>
      </c>
      <c r="E91" s="35" t="s">
        <v>500</v>
      </c>
      <c r="F91" s="221"/>
      <c r="G91" s="201">
        <f t="shared" si="2"/>
        <v>26467.000000000004</v>
      </c>
      <c r="H91" s="184">
        <v>26467.000000000004</v>
      </c>
      <c r="I91" s="185"/>
    </row>
    <row r="92" ht="56">
      <c r="A92" s="38" t="s">
        <v>206</v>
      </c>
      <c r="B92" s="78" t="s">
        <v>207</v>
      </c>
      <c r="C92" s="28" t="s">
        <v>65</v>
      </c>
      <c r="D92" s="75">
        <v>1</v>
      </c>
      <c r="E92" s="35" t="s">
        <v>500</v>
      </c>
      <c r="F92" s="221"/>
      <c r="G92" s="201">
        <f t="shared" si="2"/>
        <v>36218</v>
      </c>
      <c r="H92" s="184">
        <v>36218</v>
      </c>
      <c r="I92" s="185"/>
    </row>
    <row r="93" ht="56">
      <c r="A93" s="38" t="s">
        <v>208</v>
      </c>
      <c r="B93" s="78" t="s">
        <v>209</v>
      </c>
      <c r="C93" s="28" t="s">
        <v>65</v>
      </c>
      <c r="D93" s="75">
        <v>1</v>
      </c>
      <c r="E93" s="35" t="s">
        <v>500</v>
      </c>
      <c r="F93" s="221"/>
      <c r="G93" s="201">
        <f t="shared" si="2"/>
        <v>36218</v>
      </c>
      <c r="H93" s="184">
        <v>36218</v>
      </c>
      <c r="I93" s="185"/>
    </row>
    <row r="94" ht="56">
      <c r="A94" s="38" t="s">
        <v>210</v>
      </c>
      <c r="B94" s="78" t="s">
        <v>211</v>
      </c>
      <c r="C94" s="28" t="s">
        <v>65</v>
      </c>
      <c r="D94" s="75">
        <v>1</v>
      </c>
      <c r="E94" s="35" t="s">
        <v>500</v>
      </c>
      <c r="F94" s="221"/>
      <c r="G94" s="201">
        <f t="shared" si="2"/>
        <v>36218</v>
      </c>
      <c r="H94" s="184">
        <v>36218</v>
      </c>
      <c r="I94" s="185"/>
    </row>
    <row r="95" ht="56">
      <c r="A95" s="38" t="s">
        <v>212</v>
      </c>
      <c r="B95" s="78" t="s">
        <v>213</v>
      </c>
      <c r="C95" s="28" t="s">
        <v>65</v>
      </c>
      <c r="D95" s="75">
        <v>1</v>
      </c>
      <c r="E95" s="35" t="s">
        <v>500</v>
      </c>
      <c r="F95" s="221"/>
      <c r="G95" s="201">
        <f t="shared" si="2"/>
        <v>48755</v>
      </c>
      <c r="H95" s="184">
        <v>48755</v>
      </c>
      <c r="I95" s="185"/>
    </row>
    <row r="96" ht="42">
      <c r="A96" s="38" t="s">
        <v>214</v>
      </c>
      <c r="B96" s="78" t="s">
        <v>215</v>
      </c>
      <c r="C96" s="28" t="s">
        <v>65</v>
      </c>
      <c r="D96" s="75">
        <v>1</v>
      </c>
      <c r="E96" s="35" t="s">
        <v>500</v>
      </c>
      <c r="F96" s="221"/>
      <c r="G96" s="201">
        <f t="shared" si="2"/>
        <v>119400</v>
      </c>
      <c r="H96" s="184">
        <v>119400</v>
      </c>
      <c r="I96" s="185"/>
    </row>
    <row r="97" ht="56">
      <c r="A97" s="38" t="s">
        <v>216</v>
      </c>
      <c r="B97" s="78" t="s">
        <v>217</v>
      </c>
      <c r="C97" s="28" t="s">
        <v>65</v>
      </c>
      <c r="D97" s="75">
        <v>1</v>
      </c>
      <c r="E97" s="35" t="s">
        <v>500</v>
      </c>
      <c r="F97" s="221"/>
      <c r="G97" s="201">
        <f t="shared" si="2"/>
        <v>48755</v>
      </c>
      <c r="H97" s="184">
        <v>48755</v>
      </c>
      <c r="I97" s="185"/>
    </row>
    <row r="98" ht="56">
      <c r="A98" s="38" t="s">
        <v>218</v>
      </c>
      <c r="B98" s="78" t="s">
        <v>219</v>
      </c>
      <c r="C98" s="28" t="s">
        <v>65</v>
      </c>
      <c r="D98" s="75">
        <v>2</v>
      </c>
      <c r="E98" s="35" t="s">
        <v>500</v>
      </c>
      <c r="F98" s="221"/>
      <c r="G98" s="201">
        <f t="shared" si="2"/>
        <v>36218</v>
      </c>
      <c r="H98" s="184">
        <v>72436</v>
      </c>
      <c r="I98" s="185"/>
    </row>
    <row r="99" ht="14">
      <c r="A99" s="222"/>
      <c r="B99" s="223" t="s">
        <v>220</v>
      </c>
      <c r="C99" s="28"/>
      <c r="D99" s="75"/>
      <c r="E99" s="224"/>
      <c r="F99" s="221"/>
      <c r="G99" s="183"/>
      <c r="H99" s="225"/>
      <c r="I99" s="185"/>
    </row>
    <row r="100" ht="70">
      <c r="A100" s="38" t="s">
        <v>221</v>
      </c>
      <c r="B100" s="78" t="s">
        <v>222</v>
      </c>
      <c r="C100" s="28" t="s">
        <v>65</v>
      </c>
      <c r="D100" s="75">
        <v>2</v>
      </c>
      <c r="E100" s="35" t="s">
        <v>500</v>
      </c>
      <c r="F100" s="221"/>
      <c r="G100" s="201">
        <f t="shared" ref="G100:G163" si="3">H100/D100</f>
        <v>9353</v>
      </c>
      <c r="H100" s="184">
        <v>18706</v>
      </c>
      <c r="I100" s="185"/>
    </row>
    <row r="101" ht="70">
      <c r="A101" s="38" t="s">
        <v>225</v>
      </c>
      <c r="B101" s="78" t="s">
        <v>226</v>
      </c>
      <c r="C101" s="28" t="s">
        <v>65</v>
      </c>
      <c r="D101" s="75">
        <v>2</v>
      </c>
      <c r="E101" s="35" t="s">
        <v>500</v>
      </c>
      <c r="F101" s="221"/>
      <c r="G101" s="201">
        <f t="shared" si="3"/>
        <v>46566</v>
      </c>
      <c r="H101" s="184">
        <v>93132</v>
      </c>
      <c r="I101" s="185"/>
    </row>
    <row r="102" ht="70">
      <c r="A102" s="38" t="s">
        <v>229</v>
      </c>
      <c r="B102" s="78" t="s">
        <v>230</v>
      </c>
      <c r="C102" s="28" t="s">
        <v>65</v>
      </c>
      <c r="D102" s="75">
        <v>8</v>
      </c>
      <c r="E102" s="35" t="s">
        <v>500</v>
      </c>
      <c r="F102" s="221"/>
      <c r="G102" s="201">
        <f t="shared" si="3"/>
        <v>9353</v>
      </c>
      <c r="H102" s="184">
        <v>74824</v>
      </c>
      <c r="I102" s="185"/>
    </row>
    <row r="103" ht="70">
      <c r="A103" s="38" t="s">
        <v>231</v>
      </c>
      <c r="B103" s="78" t="s">
        <v>232</v>
      </c>
      <c r="C103" s="28" t="s">
        <v>65</v>
      </c>
      <c r="D103" s="75">
        <v>8</v>
      </c>
      <c r="E103" s="35" t="s">
        <v>500</v>
      </c>
      <c r="F103" s="221"/>
      <c r="G103" s="201">
        <f t="shared" si="3"/>
        <v>13532</v>
      </c>
      <c r="H103" s="184">
        <v>108256</v>
      </c>
      <c r="I103" s="185"/>
    </row>
    <row r="104" ht="70">
      <c r="A104" s="38" t="s">
        <v>233</v>
      </c>
      <c r="B104" s="78" t="s">
        <v>234</v>
      </c>
      <c r="C104" s="28" t="s">
        <v>65</v>
      </c>
      <c r="D104" s="75">
        <v>4</v>
      </c>
      <c r="E104" s="35" t="s">
        <v>500</v>
      </c>
      <c r="F104" s="221"/>
      <c r="G104" s="201">
        <f t="shared" si="3"/>
        <v>17591.600000000002</v>
      </c>
      <c r="H104" s="184">
        <v>70366.400000000009</v>
      </c>
      <c r="I104" s="185"/>
    </row>
    <row r="105" ht="84">
      <c r="A105" s="38" t="s">
        <v>235</v>
      </c>
      <c r="B105" s="78" t="s">
        <v>236</v>
      </c>
      <c r="C105" s="28" t="s">
        <v>65</v>
      </c>
      <c r="D105" s="75">
        <v>4</v>
      </c>
      <c r="E105" s="35" t="s">
        <v>500</v>
      </c>
      <c r="F105" s="221"/>
      <c r="G105" s="201">
        <f t="shared" si="3"/>
        <v>19740.799999999999</v>
      </c>
      <c r="H105" s="184">
        <v>78963.199999999997</v>
      </c>
      <c r="I105" s="185"/>
    </row>
    <row r="106" ht="84">
      <c r="A106" s="38" t="s">
        <v>237</v>
      </c>
      <c r="B106" s="78" t="s">
        <v>238</v>
      </c>
      <c r="C106" s="28" t="s">
        <v>65</v>
      </c>
      <c r="D106" s="75">
        <v>2</v>
      </c>
      <c r="E106" s="35" t="s">
        <v>500</v>
      </c>
      <c r="F106" s="221"/>
      <c r="G106" s="201">
        <f t="shared" si="3"/>
        <v>10188.800000000001</v>
      </c>
      <c r="H106" s="184">
        <v>20377.600000000002</v>
      </c>
      <c r="I106" s="185"/>
    </row>
    <row r="107" ht="84">
      <c r="A107" s="38" t="s">
        <v>239</v>
      </c>
      <c r="B107" s="78" t="s">
        <v>240</v>
      </c>
      <c r="C107" s="28" t="s">
        <v>65</v>
      </c>
      <c r="D107" s="75">
        <v>2</v>
      </c>
      <c r="E107" s="35" t="s">
        <v>500</v>
      </c>
      <c r="F107" s="221"/>
      <c r="G107" s="201">
        <f t="shared" si="3"/>
        <v>6925.1999999999998</v>
      </c>
      <c r="H107" s="184">
        <v>13850.4</v>
      </c>
      <c r="I107" s="185"/>
    </row>
    <row r="108" ht="84">
      <c r="A108" s="38" t="s">
        <v>241</v>
      </c>
      <c r="B108" s="78" t="s">
        <v>242</v>
      </c>
      <c r="C108" s="28" t="s">
        <v>65</v>
      </c>
      <c r="D108" s="75">
        <v>4</v>
      </c>
      <c r="E108" s="35" t="s">
        <v>500</v>
      </c>
      <c r="F108" s="221"/>
      <c r="G108" s="201">
        <f t="shared" si="3"/>
        <v>8656.5</v>
      </c>
      <c r="H108" s="184">
        <v>34626</v>
      </c>
      <c r="I108" s="185"/>
    </row>
    <row r="109" ht="70">
      <c r="A109" s="38" t="s">
        <v>243</v>
      </c>
      <c r="B109" s="78" t="s">
        <v>244</v>
      </c>
      <c r="C109" s="28" t="s">
        <v>65</v>
      </c>
      <c r="D109" s="75">
        <v>2</v>
      </c>
      <c r="E109" s="35" t="s">
        <v>500</v>
      </c>
      <c r="F109" s="221"/>
      <c r="G109" s="201">
        <f t="shared" si="3"/>
        <v>6368.0000000000009</v>
      </c>
      <c r="H109" s="184">
        <v>12736.000000000002</v>
      </c>
      <c r="I109" s="185"/>
    </row>
    <row r="110" ht="70">
      <c r="A110" s="38" t="s">
        <v>245</v>
      </c>
      <c r="B110" s="78" t="s">
        <v>246</v>
      </c>
      <c r="C110" s="28" t="s">
        <v>65</v>
      </c>
      <c r="D110" s="75">
        <v>8</v>
      </c>
      <c r="E110" s="35" t="s">
        <v>500</v>
      </c>
      <c r="F110" s="221"/>
      <c r="G110" s="201">
        <f t="shared" si="3"/>
        <v>6368.0000000000009</v>
      </c>
      <c r="H110" s="184">
        <v>50944.000000000007</v>
      </c>
      <c r="I110" s="185"/>
    </row>
    <row r="111" ht="13">
      <c r="A111" s="161"/>
      <c r="B111" s="162"/>
      <c r="C111" s="161"/>
      <c r="D111" s="163"/>
      <c r="E111" s="163"/>
      <c r="F111" s="163"/>
      <c r="G111" s="166"/>
      <c r="H111" s="166"/>
      <c r="I111" s="185"/>
    </row>
    <row r="112" ht="14">
      <c r="A112" s="38"/>
      <c r="B112" s="188" t="s">
        <v>249</v>
      </c>
      <c r="C112" s="188"/>
      <c r="D112" s="188"/>
      <c r="E112" s="188"/>
      <c r="F112" s="189"/>
      <c r="G112" s="190"/>
      <c r="H112" s="220"/>
      <c r="I112" s="185"/>
    </row>
    <row r="113" ht="42">
      <c r="A113" s="38" t="s">
        <v>250</v>
      </c>
      <c r="B113" s="78" t="s">
        <v>251</v>
      </c>
      <c r="C113" s="28" t="s">
        <v>252</v>
      </c>
      <c r="D113" s="75">
        <v>8</v>
      </c>
      <c r="E113" s="35" t="s">
        <v>500</v>
      </c>
      <c r="F113" s="189"/>
      <c r="G113" s="201">
        <f t="shared" si="3"/>
        <v>5174</v>
      </c>
      <c r="H113" s="184">
        <v>41392</v>
      </c>
      <c r="I113" s="185"/>
    </row>
    <row r="114" ht="28">
      <c r="A114" s="38" t="s">
        <v>253</v>
      </c>
      <c r="B114" s="78" t="s">
        <v>254</v>
      </c>
      <c r="C114" s="28" t="s">
        <v>252</v>
      </c>
      <c r="D114" s="75">
        <v>8</v>
      </c>
      <c r="E114" s="35" t="s">
        <v>500</v>
      </c>
      <c r="F114" s="189"/>
      <c r="G114" s="201">
        <f t="shared" si="3"/>
        <v>3905.375</v>
      </c>
      <c r="H114" s="184">
        <v>31243</v>
      </c>
      <c r="I114" s="185"/>
    </row>
    <row r="115" ht="28">
      <c r="A115" s="38" t="s">
        <v>255</v>
      </c>
      <c r="B115" s="78" t="s">
        <v>256</v>
      </c>
      <c r="C115" s="28" t="s">
        <v>252</v>
      </c>
      <c r="D115" s="75">
        <v>1</v>
      </c>
      <c r="E115" s="35" t="s">
        <v>500</v>
      </c>
      <c r="F115" s="189"/>
      <c r="G115" s="201">
        <f t="shared" si="3"/>
        <v>3900.4000000000001</v>
      </c>
      <c r="H115" s="184">
        <v>3900.4000000000001</v>
      </c>
      <c r="I115" s="185"/>
    </row>
    <row r="116" ht="28">
      <c r="A116" s="38" t="s">
        <v>257</v>
      </c>
      <c r="B116" s="78" t="s">
        <v>258</v>
      </c>
      <c r="C116" s="28" t="s">
        <v>252</v>
      </c>
      <c r="D116" s="75">
        <v>2</v>
      </c>
      <c r="E116" s="35" t="s">
        <v>500</v>
      </c>
      <c r="F116" s="189"/>
      <c r="G116" s="201">
        <f t="shared" si="3"/>
        <v>3905.3736842105263</v>
      </c>
      <c r="H116" s="184">
        <v>7810.7473684210527</v>
      </c>
      <c r="I116" s="185"/>
    </row>
    <row r="117" ht="28">
      <c r="A117" s="38" t="s">
        <v>259</v>
      </c>
      <c r="B117" s="78" t="s">
        <v>260</v>
      </c>
      <c r="C117" s="28" t="s">
        <v>252</v>
      </c>
      <c r="D117" s="75">
        <v>4</v>
      </c>
      <c r="E117" s="35" t="s">
        <v>500</v>
      </c>
      <c r="F117" s="189"/>
      <c r="G117" s="201">
        <f t="shared" si="3"/>
        <v>4450.1368421052639</v>
      </c>
      <c r="H117" s="184">
        <v>17800.547368421056</v>
      </c>
      <c r="I117" s="185"/>
    </row>
    <row r="118" ht="28">
      <c r="A118" s="38" t="s">
        <v>261</v>
      </c>
      <c r="B118" s="78" t="s">
        <v>262</v>
      </c>
      <c r="C118" s="28" t="s">
        <v>252</v>
      </c>
      <c r="D118" s="75">
        <v>10</v>
      </c>
      <c r="E118" s="35" t="s">
        <v>500</v>
      </c>
      <c r="F118" s="189"/>
      <c r="G118" s="201">
        <f t="shared" si="3"/>
        <v>4449.6400000000003</v>
      </c>
      <c r="H118" s="184">
        <v>44496.400000000001</v>
      </c>
      <c r="I118" s="185"/>
    </row>
    <row r="119" ht="28">
      <c r="A119" s="38" t="s">
        <v>263</v>
      </c>
      <c r="B119" s="78" t="s">
        <v>264</v>
      </c>
      <c r="C119" s="28" t="s">
        <v>252</v>
      </c>
      <c r="D119" s="75">
        <v>11</v>
      </c>
      <c r="E119" s="35" t="s">
        <v>500</v>
      </c>
      <c r="F119" s="189"/>
      <c r="G119" s="201">
        <f t="shared" si="3"/>
        <v>6720.7732057416279</v>
      </c>
      <c r="H119" s="184">
        <v>73928.505263157902</v>
      </c>
      <c r="I119" s="185"/>
    </row>
    <row r="120" ht="28">
      <c r="A120" s="38" t="s">
        <v>265</v>
      </c>
      <c r="B120" s="78" t="s">
        <v>266</v>
      </c>
      <c r="C120" s="28" t="s">
        <v>252</v>
      </c>
      <c r="D120" s="75">
        <v>12</v>
      </c>
      <c r="E120" s="35" t="s">
        <v>500</v>
      </c>
      <c r="F120" s="189"/>
      <c r="G120" s="201">
        <f t="shared" si="3"/>
        <v>3072.0622807017548</v>
      </c>
      <c r="H120" s="184">
        <v>36864.747368421056</v>
      </c>
      <c r="I120" s="185"/>
    </row>
    <row r="121" ht="42">
      <c r="A121" s="38" t="s">
        <v>267</v>
      </c>
      <c r="B121" s="78" t="s">
        <v>268</v>
      </c>
      <c r="C121" s="28" t="s">
        <v>252</v>
      </c>
      <c r="D121" s="75">
        <v>10</v>
      </c>
      <c r="E121" s="35" t="s">
        <v>500</v>
      </c>
      <c r="F121" s="189"/>
      <c r="G121" s="201">
        <f t="shared" si="3"/>
        <v>5860.5505263157902</v>
      </c>
      <c r="H121" s="184">
        <v>58605.505263157902</v>
      </c>
      <c r="I121" s="185"/>
    </row>
    <row r="122" ht="28">
      <c r="A122" s="38" t="s">
        <v>269</v>
      </c>
      <c r="B122" s="94" t="s">
        <v>270</v>
      </c>
      <c r="C122" s="28" t="s">
        <v>252</v>
      </c>
      <c r="D122" s="75">
        <v>2.3999999999999999</v>
      </c>
      <c r="E122" s="35" t="s">
        <v>500</v>
      </c>
      <c r="F122" s="189"/>
      <c r="G122" s="201">
        <f t="shared" si="3"/>
        <v>6239.4780701754389</v>
      </c>
      <c r="H122" s="184">
        <v>14974.747368421053</v>
      </c>
      <c r="I122" s="185"/>
    </row>
    <row r="123" ht="28">
      <c r="A123" s="38" t="s">
        <v>271</v>
      </c>
      <c r="B123" s="94" t="s">
        <v>272</v>
      </c>
      <c r="C123" s="28" t="s">
        <v>252</v>
      </c>
      <c r="D123" s="75">
        <v>2.3999999999999999</v>
      </c>
      <c r="E123" s="35" t="s">
        <v>500</v>
      </c>
      <c r="F123" s="189"/>
      <c r="G123" s="201">
        <f t="shared" si="3"/>
        <v>7031.3333333333339</v>
      </c>
      <c r="H123" s="184">
        <v>16875.200000000001</v>
      </c>
      <c r="I123" s="185"/>
    </row>
    <row r="124" ht="28">
      <c r="A124" s="38" t="s">
        <v>273</v>
      </c>
      <c r="B124" s="94" t="s">
        <v>274</v>
      </c>
      <c r="C124" s="28" t="s">
        <v>252</v>
      </c>
      <c r="D124" s="75">
        <v>6</v>
      </c>
      <c r="E124" s="35" t="s">
        <v>500</v>
      </c>
      <c r="F124" s="189"/>
      <c r="G124" s="201">
        <f t="shared" si="3"/>
        <v>12813.940000000001</v>
      </c>
      <c r="H124" s="184">
        <v>76883.639999999999</v>
      </c>
      <c r="I124" s="185"/>
    </row>
    <row r="125" ht="28">
      <c r="A125" s="38" t="s">
        <v>275</v>
      </c>
      <c r="B125" s="94" t="s">
        <v>276</v>
      </c>
      <c r="C125" s="28" t="s">
        <v>252</v>
      </c>
      <c r="D125" s="75">
        <v>1</v>
      </c>
      <c r="E125" s="35" t="s">
        <v>500</v>
      </c>
      <c r="F125" s="189"/>
      <c r="G125" s="201">
        <f t="shared" si="3"/>
        <v>13422.547368421054</v>
      </c>
      <c r="H125" s="184">
        <v>13422.547368421054</v>
      </c>
      <c r="I125" s="185"/>
    </row>
    <row r="126" ht="42">
      <c r="A126" s="38" t="s">
        <v>277</v>
      </c>
      <c r="B126" s="78" t="s">
        <v>278</v>
      </c>
      <c r="C126" s="28" t="s">
        <v>252</v>
      </c>
      <c r="D126" s="75">
        <v>6</v>
      </c>
      <c r="E126" s="35" t="s">
        <v>500</v>
      </c>
      <c r="F126" s="189"/>
      <c r="G126" s="201">
        <f t="shared" si="3"/>
        <v>27196.666666666668</v>
      </c>
      <c r="H126" s="184">
        <v>163180</v>
      </c>
      <c r="I126" s="185"/>
    </row>
    <row r="127" ht="42">
      <c r="A127" s="38" t="s">
        <v>279</v>
      </c>
      <c r="B127" s="78" t="s">
        <v>280</v>
      </c>
      <c r="C127" s="28" t="s">
        <v>252</v>
      </c>
      <c r="D127" s="75">
        <v>6</v>
      </c>
      <c r="E127" s="35" t="s">
        <v>500</v>
      </c>
      <c r="F127" s="189"/>
      <c r="G127" s="201">
        <f t="shared" si="3"/>
        <v>57431.400000000001</v>
      </c>
      <c r="H127" s="184">
        <v>344588.40000000002</v>
      </c>
      <c r="I127" s="185"/>
    </row>
    <row r="128" ht="28">
      <c r="A128" s="38" t="s">
        <v>281</v>
      </c>
      <c r="B128" s="78" t="s">
        <v>282</v>
      </c>
      <c r="C128" s="28" t="s">
        <v>252</v>
      </c>
      <c r="D128" s="75">
        <v>6</v>
      </c>
      <c r="E128" s="35" t="s">
        <v>500</v>
      </c>
      <c r="F128" s="189"/>
      <c r="G128" s="201">
        <f t="shared" si="3"/>
        <v>15362.800000000003</v>
      </c>
      <c r="H128" s="184">
        <v>92176.800000000017</v>
      </c>
      <c r="I128" s="185"/>
    </row>
    <row r="129" ht="41.149999999999999" customHeight="1">
      <c r="A129" s="38" t="s">
        <v>283</v>
      </c>
      <c r="B129" s="78" t="s">
        <v>284</v>
      </c>
      <c r="C129" s="28" t="s">
        <v>252</v>
      </c>
      <c r="D129" s="75">
        <v>10</v>
      </c>
      <c r="E129" s="35" t="s">
        <v>500</v>
      </c>
      <c r="F129" s="189"/>
      <c r="G129" s="201">
        <f t="shared" si="3"/>
        <v>43073.550000000003</v>
      </c>
      <c r="H129" s="184">
        <v>430735.5</v>
      </c>
      <c r="I129" s="185"/>
    </row>
    <row r="130" ht="42">
      <c r="A130" s="38" t="s">
        <v>285</v>
      </c>
      <c r="B130" s="78" t="s">
        <v>286</v>
      </c>
      <c r="C130" s="28" t="s">
        <v>19</v>
      </c>
      <c r="D130" s="75">
        <v>2</v>
      </c>
      <c r="E130" s="35" t="s">
        <v>500</v>
      </c>
      <c r="F130" s="189"/>
      <c r="G130" s="201">
        <f t="shared" si="3"/>
        <v>49750</v>
      </c>
      <c r="H130" s="184">
        <v>99500</v>
      </c>
      <c r="I130" s="185"/>
    </row>
    <row r="131" ht="28">
      <c r="A131" s="38" t="s">
        <v>287</v>
      </c>
      <c r="B131" s="94" t="s">
        <v>288</v>
      </c>
      <c r="C131" s="28" t="s">
        <v>252</v>
      </c>
      <c r="D131" s="75">
        <v>8</v>
      </c>
      <c r="E131" s="35" t="s">
        <v>500</v>
      </c>
      <c r="F131" s="221"/>
      <c r="G131" s="201">
        <f t="shared" si="3"/>
        <v>59700</v>
      </c>
      <c r="H131" s="184">
        <v>477600</v>
      </c>
      <c r="I131" s="185"/>
    </row>
    <row r="132" ht="28">
      <c r="A132" s="38" t="s">
        <v>289</v>
      </c>
      <c r="B132" s="94" t="s">
        <v>290</v>
      </c>
      <c r="C132" s="28" t="s">
        <v>65</v>
      </c>
      <c r="D132" s="75">
        <v>3</v>
      </c>
      <c r="E132" s="35" t="s">
        <v>500</v>
      </c>
      <c r="F132" s="221"/>
      <c r="G132" s="201">
        <f t="shared" si="3"/>
        <v>49750</v>
      </c>
      <c r="H132" s="184">
        <v>149250</v>
      </c>
      <c r="I132" s="185"/>
    </row>
    <row r="133" ht="56">
      <c r="A133" s="38" t="s">
        <v>291</v>
      </c>
      <c r="B133" s="94" t="s">
        <v>292</v>
      </c>
      <c r="C133" s="28" t="s">
        <v>65</v>
      </c>
      <c r="D133" s="75">
        <v>3</v>
      </c>
      <c r="E133" s="35" t="s">
        <v>500</v>
      </c>
      <c r="F133" s="221"/>
      <c r="G133" s="201">
        <f t="shared" si="3"/>
        <v>49750</v>
      </c>
      <c r="H133" s="184">
        <v>149250</v>
      </c>
      <c r="I133" s="185"/>
    </row>
    <row r="134" s="226" customFormat="1" ht="42">
      <c r="A134" s="116" t="s">
        <v>293</v>
      </c>
      <c r="B134" s="114" t="s">
        <v>294</v>
      </c>
      <c r="C134" s="115" t="s">
        <v>24</v>
      </c>
      <c r="D134" s="115">
        <v>48</v>
      </c>
      <c r="E134" s="122" t="s">
        <v>500</v>
      </c>
      <c r="F134" s="132"/>
      <c r="G134" s="227">
        <f t="shared" si="3"/>
        <v>9120.8333333333339</v>
      </c>
      <c r="H134" s="228">
        <v>437800</v>
      </c>
      <c r="I134" s="229"/>
    </row>
    <row r="135" ht="14">
      <c r="A135" s="38"/>
      <c r="B135" s="187" t="s">
        <v>295</v>
      </c>
      <c r="C135" s="188"/>
      <c r="D135" s="188"/>
      <c r="E135" s="188"/>
      <c r="F135" s="189"/>
      <c r="G135" s="190"/>
      <c r="H135" s="220"/>
      <c r="I135" s="185"/>
    </row>
    <row r="136" ht="56">
      <c r="A136" s="15" t="s">
        <v>293</v>
      </c>
      <c r="B136" s="78" t="s">
        <v>296</v>
      </c>
      <c r="C136" s="28"/>
      <c r="D136" s="75"/>
      <c r="E136" s="35" t="s">
        <v>500</v>
      </c>
      <c r="F136" s="75"/>
      <c r="G136" s="201"/>
      <c r="H136" s="202"/>
      <c r="I136" s="185"/>
    </row>
    <row r="137" ht="14">
      <c r="A137" s="38" t="s">
        <v>297</v>
      </c>
      <c r="B137" s="78" t="s">
        <v>298</v>
      </c>
      <c r="C137" s="28" t="s">
        <v>65</v>
      </c>
      <c r="D137" s="75">
        <v>2</v>
      </c>
      <c r="E137" s="35" t="s">
        <v>500</v>
      </c>
      <c r="F137" s="206"/>
      <c r="G137" s="201">
        <f t="shared" si="3"/>
        <v>149250</v>
      </c>
      <c r="H137" s="184">
        <v>298500</v>
      </c>
      <c r="I137" s="185"/>
    </row>
    <row r="138" ht="14">
      <c r="A138" s="38" t="s">
        <v>299</v>
      </c>
      <c r="B138" s="78" t="s">
        <v>300</v>
      </c>
      <c r="C138" s="28" t="s">
        <v>65</v>
      </c>
      <c r="D138" s="75">
        <v>2</v>
      </c>
      <c r="E138" s="35" t="s">
        <v>500</v>
      </c>
      <c r="F138" s="206"/>
      <c r="G138" s="201">
        <f t="shared" si="3"/>
        <v>119400</v>
      </c>
      <c r="H138" s="184">
        <v>238800</v>
      </c>
      <c r="I138" s="185"/>
    </row>
    <row r="139" ht="14">
      <c r="A139" s="38" t="s">
        <v>301</v>
      </c>
      <c r="B139" s="78" t="s">
        <v>302</v>
      </c>
      <c r="C139" s="28" t="s">
        <v>65</v>
      </c>
      <c r="D139" s="75">
        <v>2</v>
      </c>
      <c r="E139" s="35" t="s">
        <v>500</v>
      </c>
      <c r="F139" s="206"/>
      <c r="G139" s="201">
        <f t="shared" si="3"/>
        <v>119400</v>
      </c>
      <c r="H139" s="184">
        <v>238800</v>
      </c>
      <c r="I139" s="185"/>
    </row>
    <row r="140" ht="70">
      <c r="A140" s="38" t="s">
        <v>303</v>
      </c>
      <c r="B140" s="78" t="s">
        <v>304</v>
      </c>
      <c r="C140" s="28" t="s">
        <v>65</v>
      </c>
      <c r="D140" s="75">
        <v>2</v>
      </c>
      <c r="E140" s="35" t="s">
        <v>500</v>
      </c>
      <c r="F140" s="206"/>
      <c r="G140" s="201">
        <f t="shared" si="3"/>
        <v>99500</v>
      </c>
      <c r="H140" s="184">
        <v>199000</v>
      </c>
      <c r="I140" s="185"/>
    </row>
    <row r="141" ht="14">
      <c r="A141" s="38"/>
      <c r="B141" s="187" t="s">
        <v>305</v>
      </c>
      <c r="C141" s="188"/>
      <c r="D141" s="188"/>
      <c r="E141" s="188"/>
      <c r="F141" s="189"/>
      <c r="G141" s="190"/>
      <c r="H141" s="220"/>
      <c r="I141" s="185"/>
    </row>
    <row r="142" ht="84">
      <c r="A142" s="15" t="s">
        <v>306</v>
      </c>
      <c r="B142" s="78" t="s">
        <v>307</v>
      </c>
      <c r="C142" s="28" t="s">
        <v>19</v>
      </c>
      <c r="D142" s="75">
        <v>4</v>
      </c>
      <c r="E142" s="35" t="s">
        <v>500</v>
      </c>
      <c r="F142" s="206"/>
      <c r="G142" s="201">
        <f t="shared" si="3"/>
        <v>248750</v>
      </c>
      <c r="H142" s="184">
        <v>995000</v>
      </c>
      <c r="I142" s="185"/>
    </row>
    <row r="143" ht="14">
      <c r="A143" s="38"/>
      <c r="B143" s="187" t="s">
        <v>308</v>
      </c>
      <c r="C143" s="188"/>
      <c r="D143" s="188"/>
      <c r="E143" s="188"/>
      <c r="F143" s="189"/>
      <c r="G143" s="190"/>
      <c r="H143" s="220"/>
      <c r="I143" s="185"/>
    </row>
    <row r="144" ht="42">
      <c r="A144" s="38" t="s">
        <v>309</v>
      </c>
      <c r="B144" s="78" t="s">
        <v>310</v>
      </c>
      <c r="C144" s="28" t="s">
        <v>65</v>
      </c>
      <c r="D144" s="28">
        <v>2</v>
      </c>
      <c r="E144" s="35" t="s">
        <v>500</v>
      </c>
      <c r="F144" s="206"/>
      <c r="G144" s="201">
        <f t="shared" si="3"/>
        <v>99500</v>
      </c>
      <c r="H144" s="184">
        <v>199000</v>
      </c>
      <c r="I144" s="185"/>
    </row>
    <row r="145" ht="42">
      <c r="A145" s="38" t="s">
        <v>311</v>
      </c>
      <c r="B145" s="78" t="s">
        <v>312</v>
      </c>
      <c r="C145" s="28" t="s">
        <v>65</v>
      </c>
      <c r="D145" s="28">
        <v>2</v>
      </c>
      <c r="E145" s="35" t="s">
        <v>500</v>
      </c>
      <c r="F145" s="206"/>
      <c r="G145" s="201">
        <f t="shared" si="3"/>
        <v>19900</v>
      </c>
      <c r="H145" s="184">
        <v>39800</v>
      </c>
      <c r="I145" s="185"/>
    </row>
    <row r="146" ht="42">
      <c r="A146" s="38" t="s">
        <v>313</v>
      </c>
      <c r="B146" s="78" t="s">
        <v>314</v>
      </c>
      <c r="C146" s="28" t="s">
        <v>65</v>
      </c>
      <c r="D146" s="28">
        <v>1</v>
      </c>
      <c r="E146" s="35" t="s">
        <v>500</v>
      </c>
      <c r="F146" s="206"/>
      <c r="G146" s="201">
        <f t="shared" si="3"/>
        <v>54725</v>
      </c>
      <c r="H146" s="184">
        <v>54725</v>
      </c>
      <c r="I146" s="185"/>
    </row>
    <row r="147" ht="42">
      <c r="A147" s="38" t="s">
        <v>315</v>
      </c>
      <c r="B147" s="78" t="s">
        <v>316</v>
      </c>
      <c r="C147" s="28" t="s">
        <v>65</v>
      </c>
      <c r="D147" s="28">
        <v>1</v>
      </c>
      <c r="E147" s="35" t="s">
        <v>500</v>
      </c>
      <c r="F147" s="206"/>
      <c r="G147" s="201">
        <f t="shared" si="3"/>
        <v>51740</v>
      </c>
      <c r="H147" s="184">
        <v>51740</v>
      </c>
      <c r="I147" s="185"/>
    </row>
    <row r="148" ht="42">
      <c r="A148" s="38" t="s">
        <v>317</v>
      </c>
      <c r="B148" s="78" t="s">
        <v>318</v>
      </c>
      <c r="C148" s="28" t="s">
        <v>65</v>
      </c>
      <c r="D148" s="28">
        <v>2</v>
      </c>
      <c r="E148" s="35" t="s">
        <v>500</v>
      </c>
      <c r="F148" s="75"/>
      <c r="G148" s="201">
        <f t="shared" si="3"/>
        <v>24875</v>
      </c>
      <c r="H148" s="184">
        <v>49750</v>
      </c>
      <c r="I148" s="185"/>
    </row>
    <row r="149" ht="42">
      <c r="A149" s="38" t="s">
        <v>319</v>
      </c>
      <c r="B149" s="78" t="s">
        <v>320</v>
      </c>
      <c r="C149" s="28" t="s">
        <v>65</v>
      </c>
      <c r="D149" s="28">
        <v>1</v>
      </c>
      <c r="E149" s="35" t="s">
        <v>500</v>
      </c>
      <c r="F149" s="206"/>
      <c r="G149" s="201">
        <f t="shared" si="3"/>
        <v>14925</v>
      </c>
      <c r="H149" s="184">
        <v>14925</v>
      </c>
      <c r="I149" s="185"/>
    </row>
    <row r="150" ht="56">
      <c r="A150" s="38" t="s">
        <v>321</v>
      </c>
      <c r="B150" s="78" t="s">
        <v>322</v>
      </c>
      <c r="C150" s="28" t="s">
        <v>65</v>
      </c>
      <c r="D150" s="28">
        <v>2</v>
      </c>
      <c r="E150" s="35" t="s">
        <v>500</v>
      </c>
      <c r="F150" s="206"/>
      <c r="G150" s="201">
        <f t="shared" si="3"/>
        <v>24875</v>
      </c>
      <c r="H150" s="184">
        <v>49750</v>
      </c>
      <c r="I150" s="185"/>
    </row>
    <row r="151" ht="56">
      <c r="A151" s="38" t="s">
        <v>323</v>
      </c>
      <c r="B151" s="78" t="s">
        <v>324</v>
      </c>
      <c r="C151" s="28" t="s">
        <v>65</v>
      </c>
      <c r="D151" s="28">
        <v>3</v>
      </c>
      <c r="E151" s="35" t="s">
        <v>500</v>
      </c>
      <c r="F151" s="206"/>
      <c r="G151" s="201">
        <f t="shared" si="3"/>
        <v>11144</v>
      </c>
      <c r="H151" s="184">
        <v>33432</v>
      </c>
      <c r="I151" s="185"/>
    </row>
    <row r="152" ht="42">
      <c r="A152" s="38" t="s">
        <v>325</v>
      </c>
      <c r="B152" s="78" t="s">
        <v>326</v>
      </c>
      <c r="C152" s="28" t="s">
        <v>65</v>
      </c>
      <c r="D152" s="28">
        <v>1</v>
      </c>
      <c r="E152" s="35" t="s">
        <v>500</v>
      </c>
      <c r="F152" s="206"/>
      <c r="G152" s="201">
        <f t="shared" si="3"/>
        <v>27163.505263157898</v>
      </c>
      <c r="H152" s="184">
        <v>27163.505263157898</v>
      </c>
      <c r="I152" s="185"/>
    </row>
    <row r="153" ht="42">
      <c r="A153" s="38" t="s">
        <v>327</v>
      </c>
      <c r="B153" s="78" t="s">
        <v>328</v>
      </c>
      <c r="C153" s="28" t="s">
        <v>65</v>
      </c>
      <c r="D153" s="28">
        <v>1</v>
      </c>
      <c r="E153" s="35" t="s">
        <v>500</v>
      </c>
      <c r="F153" s="206"/>
      <c r="G153" s="201">
        <f t="shared" si="3"/>
        <v>17512.000000000004</v>
      </c>
      <c r="H153" s="184">
        <v>17512.000000000004</v>
      </c>
      <c r="I153" s="185"/>
    </row>
    <row r="154" ht="47.25" customHeight="1">
      <c r="A154" s="38" t="s">
        <v>329</v>
      </c>
      <c r="B154" s="78" t="s">
        <v>330</v>
      </c>
      <c r="C154" s="28" t="s">
        <v>65</v>
      </c>
      <c r="D154" s="28">
        <v>1</v>
      </c>
      <c r="E154" s="35" t="s">
        <v>500</v>
      </c>
      <c r="F154" s="206"/>
      <c r="G154" s="201">
        <f t="shared" si="3"/>
        <v>21790.505263157895</v>
      </c>
      <c r="H154" s="184">
        <v>21790.505263157895</v>
      </c>
      <c r="I154" s="185"/>
    </row>
    <row r="155" ht="42">
      <c r="A155" s="38" t="s">
        <v>331</v>
      </c>
      <c r="B155" s="78" t="s">
        <v>332</v>
      </c>
      <c r="C155" s="28" t="s">
        <v>65</v>
      </c>
      <c r="D155" s="28">
        <v>2</v>
      </c>
      <c r="E155" s="35" t="s">
        <v>500</v>
      </c>
      <c r="F155" s="206"/>
      <c r="G155" s="201">
        <f t="shared" si="3"/>
        <v>19104</v>
      </c>
      <c r="H155" s="184">
        <v>38208</v>
      </c>
      <c r="I155" s="185"/>
    </row>
    <row r="156" ht="26">
      <c r="A156" s="230" t="s">
        <v>501</v>
      </c>
      <c r="B156" s="231" t="s">
        <v>502</v>
      </c>
      <c r="C156" s="232" t="s">
        <v>82</v>
      </c>
      <c r="D156" s="233">
        <v>2</v>
      </c>
      <c r="E156" s="35" t="s">
        <v>500</v>
      </c>
      <c r="F156" s="234"/>
      <c r="G156" s="201">
        <f t="shared" si="3"/>
        <v>44775</v>
      </c>
      <c r="H156" s="235">
        <v>89550</v>
      </c>
      <c r="I156" s="185"/>
    </row>
    <row r="157" ht="26">
      <c r="A157" s="230" t="s">
        <v>503</v>
      </c>
      <c r="B157" s="236" t="s">
        <v>504</v>
      </c>
      <c r="C157" s="232" t="s">
        <v>19</v>
      </c>
      <c r="D157" s="233">
        <v>2</v>
      </c>
      <c r="E157" s="35" t="s">
        <v>500</v>
      </c>
      <c r="F157" s="234"/>
      <c r="G157" s="201">
        <f t="shared" si="3"/>
        <v>44775</v>
      </c>
      <c r="H157" s="235">
        <v>89550</v>
      </c>
      <c r="I157" s="185"/>
    </row>
    <row r="158" ht="26">
      <c r="A158" s="230" t="s">
        <v>505</v>
      </c>
      <c r="B158" s="236" t="s">
        <v>506</v>
      </c>
      <c r="C158" s="232" t="s">
        <v>19</v>
      </c>
      <c r="D158" s="233">
        <v>2</v>
      </c>
      <c r="E158" s="35" t="s">
        <v>500</v>
      </c>
      <c r="F158" s="234"/>
      <c r="G158" s="201">
        <f t="shared" si="3"/>
        <v>34825</v>
      </c>
      <c r="H158" s="235">
        <v>69650</v>
      </c>
      <c r="I158" s="185"/>
    </row>
    <row r="159" ht="26">
      <c r="A159" s="230" t="s">
        <v>507</v>
      </c>
      <c r="B159" s="236" t="s">
        <v>508</v>
      </c>
      <c r="C159" s="232" t="s">
        <v>19</v>
      </c>
      <c r="D159" s="233">
        <v>2</v>
      </c>
      <c r="E159" s="35" t="s">
        <v>500</v>
      </c>
      <c r="F159" s="234"/>
      <c r="G159" s="201">
        <f t="shared" si="3"/>
        <v>34825</v>
      </c>
      <c r="H159" s="235">
        <v>69650</v>
      </c>
      <c r="I159" s="185"/>
    </row>
    <row r="160" ht="26">
      <c r="A160" s="230" t="s">
        <v>509</v>
      </c>
      <c r="B160" s="236" t="s">
        <v>510</v>
      </c>
      <c r="C160" s="232" t="s">
        <v>19</v>
      </c>
      <c r="D160" s="233">
        <v>29</v>
      </c>
      <c r="E160" s="35" t="s">
        <v>500</v>
      </c>
      <c r="F160" s="234"/>
      <c r="G160" s="201">
        <f t="shared" si="3"/>
        <v>4975</v>
      </c>
      <c r="H160" s="235">
        <v>144275</v>
      </c>
      <c r="I160" s="185"/>
    </row>
    <row r="161" ht="26">
      <c r="A161" s="230" t="s">
        <v>511</v>
      </c>
      <c r="B161" s="236" t="s">
        <v>512</v>
      </c>
      <c r="C161" s="232" t="s">
        <v>82</v>
      </c>
      <c r="D161" s="233">
        <v>2</v>
      </c>
      <c r="E161" s="35" t="s">
        <v>500</v>
      </c>
      <c r="F161" s="234"/>
      <c r="G161" s="201">
        <f t="shared" si="3"/>
        <v>199000</v>
      </c>
      <c r="H161" s="235">
        <v>398000</v>
      </c>
      <c r="I161" s="185"/>
    </row>
    <row r="162" ht="26">
      <c r="A162" s="230" t="s">
        <v>513</v>
      </c>
      <c r="B162" s="236" t="s">
        <v>514</v>
      </c>
      <c r="C162" s="232" t="s">
        <v>82</v>
      </c>
      <c r="D162" s="233">
        <v>2</v>
      </c>
      <c r="E162" s="35" t="s">
        <v>500</v>
      </c>
      <c r="F162" s="234"/>
      <c r="G162" s="201">
        <f t="shared" si="3"/>
        <v>199000</v>
      </c>
      <c r="H162" s="235">
        <v>398000</v>
      </c>
      <c r="I162" s="185"/>
    </row>
    <row r="163" ht="26">
      <c r="A163" s="230" t="s">
        <v>515</v>
      </c>
      <c r="B163" s="236" t="s">
        <v>516</v>
      </c>
      <c r="C163" s="232" t="s">
        <v>82</v>
      </c>
      <c r="D163" s="233">
        <v>4</v>
      </c>
      <c r="E163" s="35" t="s">
        <v>500</v>
      </c>
      <c r="F163" s="234"/>
      <c r="G163" s="201">
        <f t="shared" si="3"/>
        <v>75620</v>
      </c>
      <c r="H163" s="235">
        <v>302480</v>
      </c>
      <c r="I163" s="185"/>
    </row>
    <row r="164" ht="26">
      <c r="A164" s="230" t="s">
        <v>517</v>
      </c>
      <c r="B164" s="236" t="s">
        <v>518</v>
      </c>
      <c r="C164" s="232" t="s">
        <v>82</v>
      </c>
      <c r="D164" s="233">
        <v>1</v>
      </c>
      <c r="E164" s="35" t="s">
        <v>500</v>
      </c>
      <c r="F164" s="234"/>
      <c r="G164" s="201">
        <f t="shared" ref="G164:G207" si="4">H164/D164</f>
        <v>159200</v>
      </c>
      <c r="H164" s="235">
        <v>159200</v>
      </c>
      <c r="I164" s="185"/>
    </row>
    <row r="165" ht="26">
      <c r="A165" s="230" t="s">
        <v>519</v>
      </c>
      <c r="B165" s="236" t="s">
        <v>520</v>
      </c>
      <c r="C165" s="232" t="s">
        <v>82</v>
      </c>
      <c r="D165" s="233">
        <v>2</v>
      </c>
      <c r="E165" s="35" t="s">
        <v>500</v>
      </c>
      <c r="F165" s="234"/>
      <c r="G165" s="201">
        <f t="shared" si="4"/>
        <v>79600</v>
      </c>
      <c r="H165" s="235">
        <v>159200</v>
      </c>
      <c r="I165" s="185"/>
    </row>
    <row r="166" ht="14">
      <c r="A166" s="230" t="s">
        <v>521</v>
      </c>
      <c r="B166" s="236" t="s">
        <v>522</v>
      </c>
      <c r="C166" s="232" t="s">
        <v>19</v>
      </c>
      <c r="D166" s="233">
        <v>1</v>
      </c>
      <c r="E166" s="35" t="s">
        <v>500</v>
      </c>
      <c r="F166" s="234"/>
      <c r="G166" s="201">
        <f t="shared" si="4"/>
        <v>149250</v>
      </c>
      <c r="H166" s="235">
        <v>149250</v>
      </c>
      <c r="I166" s="185"/>
    </row>
    <row r="167" ht="42">
      <c r="A167" s="38" t="s">
        <v>333</v>
      </c>
      <c r="B167" s="237" t="s">
        <v>334</v>
      </c>
      <c r="C167" s="28" t="s">
        <v>335</v>
      </c>
      <c r="D167" s="28">
        <v>4</v>
      </c>
      <c r="E167" s="35" t="s">
        <v>500</v>
      </c>
      <c r="F167" s="206"/>
      <c r="G167" s="201">
        <f t="shared" si="4"/>
        <v>24875</v>
      </c>
      <c r="H167" s="184">
        <v>99500</v>
      </c>
      <c r="I167" s="185"/>
    </row>
    <row r="168" ht="39">
      <c r="A168" s="230" t="s">
        <v>523</v>
      </c>
      <c r="B168" s="238" t="s">
        <v>524</v>
      </c>
      <c r="C168" s="232" t="s">
        <v>19</v>
      </c>
      <c r="D168" s="233">
        <v>2</v>
      </c>
      <c r="E168" s="35" t="s">
        <v>500</v>
      </c>
      <c r="F168" s="234"/>
      <c r="G168" s="201">
        <f t="shared" si="4"/>
        <v>69650</v>
      </c>
      <c r="H168" s="235">
        <v>139300</v>
      </c>
      <c r="I168" s="185"/>
    </row>
    <row r="169" ht="39">
      <c r="A169" s="230" t="s">
        <v>525</v>
      </c>
      <c r="B169" s="239" t="s">
        <v>526</v>
      </c>
      <c r="C169" s="240" t="s">
        <v>65</v>
      </c>
      <c r="D169" s="240">
        <v>12</v>
      </c>
      <c r="E169" s="35" t="s">
        <v>500</v>
      </c>
      <c r="F169" s="234"/>
      <c r="G169" s="201">
        <f t="shared" si="4"/>
        <v>995</v>
      </c>
      <c r="H169" s="235">
        <v>11940</v>
      </c>
      <c r="I169" s="185"/>
    </row>
    <row r="170" ht="42">
      <c r="A170" s="38" t="s">
        <v>336</v>
      </c>
      <c r="B170" s="237" t="s">
        <v>337</v>
      </c>
      <c r="C170" s="28" t="s">
        <v>65</v>
      </c>
      <c r="D170" s="28">
        <v>1</v>
      </c>
      <c r="E170" s="35" t="s">
        <v>500</v>
      </c>
      <c r="F170" s="206"/>
      <c r="G170" s="201">
        <f t="shared" si="4"/>
        <v>47760</v>
      </c>
      <c r="H170" s="184">
        <v>47760</v>
      </c>
      <c r="I170" s="185"/>
    </row>
    <row r="171" ht="42">
      <c r="A171" s="38" t="s">
        <v>338</v>
      </c>
      <c r="B171" s="237" t="s">
        <v>339</v>
      </c>
      <c r="C171" s="28" t="s">
        <v>65</v>
      </c>
      <c r="D171" s="28">
        <v>1</v>
      </c>
      <c r="E171" s="35" t="s">
        <v>500</v>
      </c>
      <c r="F171" s="206"/>
      <c r="G171" s="201">
        <f t="shared" si="4"/>
        <v>47760</v>
      </c>
      <c r="H171" s="184">
        <v>47760</v>
      </c>
      <c r="I171" s="185"/>
    </row>
    <row r="172" ht="39">
      <c r="A172" s="230" t="s">
        <v>527</v>
      </c>
      <c r="B172" s="238" t="s">
        <v>528</v>
      </c>
      <c r="C172" s="240" t="s">
        <v>65</v>
      </c>
      <c r="D172" s="240">
        <v>5</v>
      </c>
      <c r="E172" s="35" t="s">
        <v>500</v>
      </c>
      <c r="F172" s="234"/>
      <c r="G172" s="201">
        <f t="shared" si="4"/>
        <v>14925</v>
      </c>
      <c r="H172" s="235">
        <v>74625</v>
      </c>
      <c r="I172" s="185"/>
    </row>
    <row r="173" ht="26">
      <c r="A173" s="230" t="s">
        <v>529</v>
      </c>
      <c r="B173" s="238" t="s">
        <v>530</v>
      </c>
      <c r="C173" s="240" t="s">
        <v>65</v>
      </c>
      <c r="D173" s="240">
        <v>10</v>
      </c>
      <c r="E173" s="35" t="s">
        <v>500</v>
      </c>
      <c r="F173" s="234"/>
      <c r="G173" s="201">
        <f t="shared" si="4"/>
        <v>14925</v>
      </c>
      <c r="H173" s="235">
        <v>149250</v>
      </c>
      <c r="I173" s="185"/>
    </row>
    <row r="174" ht="14">
      <c r="A174" s="230" t="s">
        <v>531</v>
      </c>
      <c r="B174" s="239" t="s">
        <v>532</v>
      </c>
      <c r="C174" s="240" t="s">
        <v>65</v>
      </c>
      <c r="D174" s="240">
        <v>4</v>
      </c>
      <c r="E174" s="35" t="s">
        <v>500</v>
      </c>
      <c r="F174" s="234"/>
      <c r="G174" s="201">
        <f t="shared" si="4"/>
        <v>99500</v>
      </c>
      <c r="H174" s="235">
        <v>398000</v>
      </c>
      <c r="I174" s="185"/>
    </row>
    <row r="175" ht="26">
      <c r="A175" s="230" t="s">
        <v>533</v>
      </c>
      <c r="B175" s="238" t="s">
        <v>534</v>
      </c>
      <c r="C175" s="240" t="s">
        <v>65</v>
      </c>
      <c r="D175" s="240">
        <v>1</v>
      </c>
      <c r="E175" s="35" t="s">
        <v>500</v>
      </c>
      <c r="F175" s="234"/>
      <c r="G175" s="201">
        <f t="shared" si="4"/>
        <v>99500</v>
      </c>
      <c r="H175" s="235">
        <v>99500</v>
      </c>
      <c r="I175" s="185"/>
    </row>
    <row r="176" ht="26">
      <c r="A176" s="230" t="s">
        <v>535</v>
      </c>
      <c r="B176" s="238" t="s">
        <v>536</v>
      </c>
      <c r="C176" s="240" t="s">
        <v>65</v>
      </c>
      <c r="D176" s="240">
        <v>1</v>
      </c>
      <c r="E176" s="35" t="s">
        <v>500</v>
      </c>
      <c r="F176" s="234"/>
      <c r="G176" s="201">
        <f t="shared" si="4"/>
        <v>99500</v>
      </c>
      <c r="H176" s="235">
        <v>99500</v>
      </c>
      <c r="I176" s="185"/>
    </row>
    <row r="177" ht="39">
      <c r="A177" s="230" t="s">
        <v>537</v>
      </c>
      <c r="B177" s="238" t="s">
        <v>538</v>
      </c>
      <c r="C177" s="240" t="s">
        <v>19</v>
      </c>
      <c r="D177" s="240">
        <v>1</v>
      </c>
      <c r="E177" s="35" t="s">
        <v>500</v>
      </c>
      <c r="F177" s="234"/>
      <c r="G177" s="201">
        <f t="shared" si="4"/>
        <v>99500</v>
      </c>
      <c r="H177" s="235">
        <v>99500</v>
      </c>
      <c r="I177" s="185"/>
    </row>
    <row r="178" ht="14">
      <c r="A178" s="241"/>
      <c r="B178" s="242" t="s">
        <v>340</v>
      </c>
      <c r="C178" s="28"/>
      <c r="D178" s="28"/>
      <c r="E178" s="205"/>
      <c r="F178" s="206"/>
      <c r="G178" s="201"/>
      <c r="H178" s="202"/>
      <c r="I178" s="185"/>
    </row>
    <row r="179" ht="70">
      <c r="A179" s="38" t="s">
        <v>341</v>
      </c>
      <c r="B179" s="78" t="s">
        <v>342</v>
      </c>
      <c r="C179" s="28" t="s">
        <v>65</v>
      </c>
      <c r="D179" s="28">
        <v>1</v>
      </c>
      <c r="E179" s="35" t="s">
        <v>500</v>
      </c>
      <c r="F179" s="206"/>
      <c r="G179" s="201">
        <f t="shared" si="4"/>
        <v>248750</v>
      </c>
      <c r="H179" s="184">
        <v>248750</v>
      </c>
      <c r="I179" s="185"/>
    </row>
    <row r="180" ht="42">
      <c r="A180" s="38" t="s">
        <v>343</v>
      </c>
      <c r="B180" s="78" t="s">
        <v>344</v>
      </c>
      <c r="C180" s="28" t="s">
        <v>65</v>
      </c>
      <c r="D180" s="28">
        <v>1</v>
      </c>
      <c r="E180" s="35" t="s">
        <v>500</v>
      </c>
      <c r="F180" s="206"/>
      <c r="G180" s="201">
        <f t="shared" si="4"/>
        <v>149250</v>
      </c>
      <c r="H180" s="184">
        <v>149250</v>
      </c>
      <c r="I180" s="185"/>
    </row>
    <row r="181" ht="70">
      <c r="A181" s="38" t="s">
        <v>345</v>
      </c>
      <c r="B181" s="78" t="s">
        <v>346</v>
      </c>
      <c r="C181" s="28" t="s">
        <v>65</v>
      </c>
      <c r="D181" s="28">
        <v>1</v>
      </c>
      <c r="E181" s="35" t="s">
        <v>500</v>
      </c>
      <c r="F181" s="206"/>
      <c r="G181" s="201">
        <f t="shared" si="4"/>
        <v>199000</v>
      </c>
      <c r="H181" s="184">
        <v>199000</v>
      </c>
      <c r="I181" s="185"/>
    </row>
    <row r="182" ht="14">
      <c r="A182" s="38"/>
      <c r="B182" s="242" t="s">
        <v>347</v>
      </c>
      <c r="C182" s="28"/>
      <c r="D182" s="28"/>
      <c r="E182" s="205"/>
      <c r="F182" s="206"/>
      <c r="G182" s="183"/>
      <c r="H182" s="202"/>
      <c r="I182" s="185"/>
    </row>
    <row r="183" ht="28">
      <c r="A183" s="38" t="s">
        <v>348</v>
      </c>
      <c r="B183" s="78" t="s">
        <v>349</v>
      </c>
      <c r="C183" s="28" t="s">
        <v>350</v>
      </c>
      <c r="D183" s="28">
        <v>1</v>
      </c>
      <c r="E183" s="35" t="s">
        <v>500</v>
      </c>
      <c r="F183" s="206"/>
      <c r="G183" s="201">
        <f t="shared" si="4"/>
        <v>597000</v>
      </c>
      <c r="H183" s="184">
        <v>597000</v>
      </c>
      <c r="I183" s="185"/>
    </row>
    <row r="184" s="0" customFormat="1" ht="13" customHeight="1">
      <c r="A184" s="243" t="s">
        <v>351</v>
      </c>
      <c r="B184" s="243"/>
      <c r="C184" s="243"/>
      <c r="D184" s="243"/>
      <c r="E184" s="243"/>
      <c r="F184" s="243"/>
      <c r="G184" s="243"/>
      <c r="H184" s="244">
        <v>17766405.579999998</v>
      </c>
      <c r="I184" s="165"/>
    </row>
    <row r="185" s="0" customFormat="1" ht="13" customHeight="1">
      <c r="A185" s="243" t="s">
        <v>352</v>
      </c>
      <c r="B185" s="243"/>
      <c r="C185" s="243"/>
      <c r="D185" s="243"/>
      <c r="E185" s="243"/>
      <c r="F185" s="243"/>
      <c r="G185" s="243"/>
      <c r="H185" s="244">
        <f>H184*0.2</f>
        <v>3553281.1159999999</v>
      </c>
      <c r="I185" s="165"/>
    </row>
    <row r="186" s="0" customFormat="1" ht="14">
      <c r="A186" s="243" t="s">
        <v>351</v>
      </c>
      <c r="B186" s="243"/>
      <c r="C186" s="243"/>
      <c r="D186" s="243"/>
      <c r="E186" s="243"/>
      <c r="F186" s="243"/>
      <c r="G186" s="243"/>
      <c r="H186" s="244">
        <f>SUM(H184:H185)</f>
        <v>21319686.695999999</v>
      </c>
      <c r="I186" s="165"/>
    </row>
    <row r="187" s="0" customFormat="1" ht="14">
      <c r="A187" s="103" t="s">
        <v>353</v>
      </c>
      <c r="B187" s="103"/>
      <c r="C187" s="103"/>
      <c r="D187" s="103"/>
      <c r="E187" s="103"/>
      <c r="F187" s="103"/>
      <c r="G187" s="103"/>
      <c r="H187" s="103"/>
      <c r="I187" s="165"/>
    </row>
    <row r="188" s="0" customFormat="1" ht="14">
      <c r="A188" s="104" t="s">
        <v>354</v>
      </c>
      <c r="B188" s="104"/>
      <c r="C188" s="104"/>
      <c r="D188" s="104"/>
      <c r="E188" s="104"/>
      <c r="F188" s="104"/>
      <c r="G188" s="104"/>
      <c r="H188" s="104"/>
      <c r="I188" s="165"/>
    </row>
    <row r="189" s="0" customFormat="1" ht="70">
      <c r="A189" s="38" t="s">
        <v>17</v>
      </c>
      <c r="B189" s="16" t="s">
        <v>355</v>
      </c>
      <c r="C189" s="38" t="s">
        <v>19</v>
      </c>
      <c r="D189" s="38" t="s">
        <v>20</v>
      </c>
      <c r="E189" s="35" t="s">
        <v>500</v>
      </c>
      <c r="F189" s="182"/>
      <c r="G189" s="183">
        <v>9950</v>
      </c>
      <c r="H189" s="245">
        <v>13930</v>
      </c>
      <c r="I189" s="183"/>
    </row>
    <row r="190" s="0" customFormat="1" ht="28">
      <c r="A190" s="15" t="s">
        <v>148</v>
      </c>
      <c r="B190" s="63" t="s">
        <v>367</v>
      </c>
      <c r="C190" s="15" t="s">
        <v>65</v>
      </c>
      <c r="D190" s="15" t="s">
        <v>131</v>
      </c>
      <c r="E190" s="35" t="s">
        <v>500</v>
      </c>
      <c r="F190" s="54"/>
      <c r="G190" s="246">
        <v>19500</v>
      </c>
      <c r="H190" s="246">
        <v>13650</v>
      </c>
      <c r="I190" s="247"/>
    </row>
    <row r="191" s="0" customFormat="1" ht="56">
      <c r="A191" s="15" t="s">
        <v>212</v>
      </c>
      <c r="B191" s="89" t="s">
        <v>378</v>
      </c>
      <c r="C191" s="20" t="s">
        <v>65</v>
      </c>
      <c r="D191" s="29">
        <v>1</v>
      </c>
      <c r="E191" s="35" t="s">
        <v>500</v>
      </c>
      <c r="F191" s="82"/>
      <c r="G191" s="81">
        <v>48755</v>
      </c>
      <c r="H191" s="245">
        <v>34128.5</v>
      </c>
      <c r="I191" s="247"/>
    </row>
    <row r="192" s="0" customFormat="1" ht="56">
      <c r="A192" s="15" t="s">
        <v>229</v>
      </c>
      <c r="B192" s="89" t="s">
        <v>380</v>
      </c>
      <c r="C192" s="20" t="s">
        <v>65</v>
      </c>
      <c r="D192" s="29">
        <v>4</v>
      </c>
      <c r="E192" s="35" t="s">
        <v>500</v>
      </c>
      <c r="F192" s="82"/>
      <c r="G192" s="81">
        <v>9353</v>
      </c>
      <c r="H192" s="245">
        <v>26188.400000000001</v>
      </c>
      <c r="I192" s="247"/>
    </row>
    <row r="193" s="0" customFormat="1" ht="70">
      <c r="A193" s="15" t="s">
        <v>231</v>
      </c>
      <c r="B193" s="89" t="s">
        <v>232</v>
      </c>
      <c r="C193" s="20" t="s">
        <v>65</v>
      </c>
      <c r="D193" s="29">
        <v>7</v>
      </c>
      <c r="E193" s="35" t="s">
        <v>500</v>
      </c>
      <c r="F193" s="54"/>
      <c r="G193" s="41">
        <v>13532</v>
      </c>
      <c r="H193" s="245">
        <v>94724</v>
      </c>
      <c r="I193" s="247"/>
    </row>
    <row r="194" s="0" customFormat="1" ht="84">
      <c r="A194" s="15" t="s">
        <v>235</v>
      </c>
      <c r="B194" s="89" t="s">
        <v>381</v>
      </c>
      <c r="C194" s="20" t="s">
        <v>65</v>
      </c>
      <c r="D194" s="29">
        <v>1</v>
      </c>
      <c r="E194" s="35" t="s">
        <v>500</v>
      </c>
      <c r="F194" s="82"/>
      <c r="G194" s="81">
        <v>19740.799999999999</v>
      </c>
      <c r="H194" s="245">
        <v>13818.559999999999</v>
      </c>
      <c r="I194" s="247"/>
    </row>
    <row r="195" s="0" customFormat="1" ht="56">
      <c r="A195" s="15" t="s">
        <v>243</v>
      </c>
      <c r="B195" s="89" t="s">
        <v>382</v>
      </c>
      <c r="C195" s="20" t="s">
        <v>65</v>
      </c>
      <c r="D195" s="29">
        <v>1</v>
      </c>
      <c r="E195" s="35" t="s">
        <v>500</v>
      </c>
      <c r="F195" s="54"/>
      <c r="G195" s="41">
        <v>6368</v>
      </c>
      <c r="H195" s="245">
        <v>4457.6000000000004</v>
      </c>
      <c r="I195" s="247"/>
    </row>
    <row r="196" s="0" customFormat="1" ht="70">
      <c r="A196" s="15" t="s">
        <v>245</v>
      </c>
      <c r="B196" s="89" t="s">
        <v>383</v>
      </c>
      <c r="C196" s="20" t="s">
        <v>65</v>
      </c>
      <c r="D196" s="29">
        <v>3</v>
      </c>
      <c r="E196" s="35" t="s">
        <v>500</v>
      </c>
      <c r="F196" s="54"/>
      <c r="G196" s="41">
        <v>6368</v>
      </c>
      <c r="H196" s="245">
        <v>13372.200000000001</v>
      </c>
      <c r="I196" s="247"/>
    </row>
    <row r="197" s="0" customFormat="1" ht="28">
      <c r="A197" s="15" t="s">
        <v>283</v>
      </c>
      <c r="B197" s="89" t="s">
        <v>384</v>
      </c>
      <c r="C197" s="20" t="s">
        <v>252</v>
      </c>
      <c r="D197" s="29">
        <v>10</v>
      </c>
      <c r="E197" s="35" t="s">
        <v>500</v>
      </c>
      <c r="F197" s="92"/>
      <c r="G197" s="248">
        <v>43073.550000000003</v>
      </c>
      <c r="H197" s="249">
        <v>204599.35999999999</v>
      </c>
      <c r="I197" s="247"/>
    </row>
    <row r="198" s="0" customFormat="1" ht="42">
      <c r="A198" s="15" t="s">
        <v>285</v>
      </c>
      <c r="B198" s="89" t="s">
        <v>385</v>
      </c>
      <c r="C198" s="20" t="s">
        <v>19</v>
      </c>
      <c r="D198" s="29">
        <v>1</v>
      </c>
      <c r="E198" s="35" t="s">
        <v>500</v>
      </c>
      <c r="F198" s="92"/>
      <c r="G198" s="93">
        <v>49750</v>
      </c>
      <c r="H198" s="249">
        <v>34825</v>
      </c>
      <c r="I198" s="247"/>
    </row>
    <row r="199" s="226" customFormat="1" ht="42">
      <c r="A199" s="116" t="s">
        <v>293</v>
      </c>
      <c r="B199" s="114" t="s">
        <v>386</v>
      </c>
      <c r="C199" s="115" t="s">
        <v>24</v>
      </c>
      <c r="D199" s="115">
        <v>10</v>
      </c>
      <c r="E199" s="122" t="s">
        <v>500</v>
      </c>
      <c r="F199" s="132"/>
      <c r="G199" s="120">
        <v>9120.8299999999999</v>
      </c>
      <c r="H199" s="227">
        <v>91208.300000000003</v>
      </c>
      <c r="I199" s="250"/>
    </row>
    <row r="200" s="0" customFormat="1" ht="70">
      <c r="A200" s="15" t="s">
        <v>306</v>
      </c>
      <c r="B200" s="89" t="s">
        <v>387</v>
      </c>
      <c r="C200" s="20" t="s">
        <v>19</v>
      </c>
      <c r="D200" s="29">
        <v>4</v>
      </c>
      <c r="E200" s="35" t="s">
        <v>500</v>
      </c>
      <c r="F200" s="54"/>
      <c r="G200" s="41">
        <v>248750</v>
      </c>
      <c r="H200" s="140">
        <v>696500</v>
      </c>
      <c r="I200" s="247"/>
    </row>
    <row r="201" s="0" customFormat="1" ht="14">
      <c r="A201" s="101" t="s">
        <v>351</v>
      </c>
      <c r="B201" s="101"/>
      <c r="C201" s="101"/>
      <c r="D201" s="101"/>
      <c r="E201" s="101"/>
      <c r="F201" s="101"/>
      <c r="G201" s="101"/>
      <c r="H201" s="102">
        <f>SUM(H190:H200)</f>
        <v>1227471.9199999999</v>
      </c>
      <c r="I201" s="165"/>
    </row>
    <row r="202" s="0" customFormat="1" ht="14">
      <c r="A202" s="101" t="s">
        <v>352</v>
      </c>
      <c r="B202" s="101"/>
      <c r="C202" s="101"/>
      <c r="D202" s="101"/>
      <c r="E202" s="101"/>
      <c r="F202" s="101"/>
      <c r="G202" s="101"/>
      <c r="H202" s="102">
        <f>H201*0.2</f>
        <v>245494.38399999999</v>
      </c>
      <c r="I202" s="165"/>
    </row>
    <row r="203" s="0" customFormat="1" ht="14">
      <c r="A203" s="101" t="s">
        <v>351</v>
      </c>
      <c r="B203" s="101"/>
      <c r="C203" s="101"/>
      <c r="D203" s="101"/>
      <c r="E203" s="101"/>
      <c r="F203" s="101"/>
      <c r="G203" s="101"/>
      <c r="H203" s="102">
        <f>SUM(H201:H202)</f>
        <v>1472966.304</v>
      </c>
      <c r="I203" s="165"/>
    </row>
    <row r="204" s="0" customFormat="1" ht="14">
      <c r="A204" s="103" t="s">
        <v>353</v>
      </c>
      <c r="B204" s="103"/>
      <c r="C204" s="103"/>
      <c r="D204" s="103"/>
      <c r="E204" s="103"/>
      <c r="F204" s="103"/>
      <c r="G204" s="103"/>
      <c r="H204" s="103"/>
      <c r="I204" s="165"/>
    </row>
    <row r="205" s="0" customFormat="1" ht="14">
      <c r="A205" s="104" t="s">
        <v>388</v>
      </c>
      <c r="B205" s="104"/>
      <c r="C205" s="104"/>
      <c r="D205" s="104"/>
      <c r="E205" s="104"/>
      <c r="F205" s="104"/>
      <c r="G205" s="104"/>
      <c r="H205" s="104"/>
      <c r="I205" s="165"/>
    </row>
    <row r="206" s="0" customFormat="1" ht="70">
      <c r="A206" s="38" t="s">
        <v>144</v>
      </c>
      <c r="B206" s="16" t="s">
        <v>145</v>
      </c>
      <c r="C206" s="38" t="s">
        <v>65</v>
      </c>
      <c r="D206" s="213" t="s">
        <v>131</v>
      </c>
      <c r="E206" s="35" t="s">
        <v>500</v>
      </c>
      <c r="F206" s="251"/>
      <c r="G206" s="41">
        <v>14000</v>
      </c>
      <c r="H206" s="41">
        <v>14000</v>
      </c>
      <c r="I206" s="165"/>
    </row>
    <row r="207" s="0" customFormat="1" ht="84">
      <c r="A207" s="38" t="s">
        <v>170</v>
      </c>
      <c r="B207" s="45" t="s">
        <v>539</v>
      </c>
      <c r="C207" s="75" t="s">
        <v>65</v>
      </c>
      <c r="D207" s="75">
        <v>2</v>
      </c>
      <c r="E207" s="35" t="s">
        <v>500</v>
      </c>
      <c r="F207" s="206"/>
      <c r="G207" s="194">
        <f t="shared" si="4"/>
        <v>218900</v>
      </c>
      <c r="H207" s="201">
        <v>437800</v>
      </c>
      <c r="I207" s="165"/>
    </row>
    <row r="208" s="0" customFormat="1" ht="84">
      <c r="A208" s="38" t="s">
        <v>172</v>
      </c>
      <c r="B208" s="45" t="s">
        <v>540</v>
      </c>
      <c r="C208" s="75" t="s">
        <v>65</v>
      </c>
      <c r="D208" s="75">
        <v>2</v>
      </c>
      <c r="E208" s="35" t="s">
        <v>500</v>
      </c>
      <c r="F208" s="206"/>
      <c r="G208" s="196"/>
      <c r="H208" s="201"/>
      <c r="I208" s="165"/>
    </row>
    <row r="209" s="0" customFormat="1" ht="56">
      <c r="A209" s="38" t="s">
        <v>174</v>
      </c>
      <c r="B209" s="45" t="s">
        <v>541</v>
      </c>
      <c r="C209" s="77" t="s">
        <v>65</v>
      </c>
      <c r="D209" s="28">
        <v>4</v>
      </c>
      <c r="E209" s="35" t="s">
        <v>500</v>
      </c>
      <c r="F209" s="206"/>
      <c r="G209" s="199"/>
      <c r="H209" s="201"/>
      <c r="I209" s="165"/>
    </row>
    <row r="210" s="0" customFormat="1" ht="42">
      <c r="A210" s="106" t="s">
        <v>371</v>
      </c>
      <c r="B210" s="45" t="s">
        <v>372</v>
      </c>
      <c r="C210" s="20" t="s">
        <v>65</v>
      </c>
      <c r="D210" s="29">
        <v>2</v>
      </c>
      <c r="E210" s="35" t="s">
        <v>500</v>
      </c>
      <c r="F210" s="206"/>
      <c r="G210" s="199">
        <v>41790</v>
      </c>
      <c r="H210" s="247">
        <v>83580</v>
      </c>
      <c r="I210" s="165"/>
    </row>
    <row r="211" s="0" customFormat="1" ht="56">
      <c r="A211" s="106" t="s">
        <v>198</v>
      </c>
      <c r="B211" s="89" t="s">
        <v>373</v>
      </c>
      <c r="C211" s="20" t="s">
        <v>65</v>
      </c>
      <c r="D211" s="29">
        <v>1</v>
      </c>
      <c r="E211" s="35" t="s">
        <v>500</v>
      </c>
      <c r="F211" s="206"/>
      <c r="G211" s="247">
        <v>36218</v>
      </c>
      <c r="H211" s="247">
        <v>36218</v>
      </c>
      <c r="I211" s="165"/>
    </row>
    <row r="212" s="0" customFormat="1" ht="56">
      <c r="A212" s="106" t="s">
        <v>200</v>
      </c>
      <c r="B212" s="89" t="s">
        <v>374</v>
      </c>
      <c r="C212" s="20" t="s">
        <v>65</v>
      </c>
      <c r="D212" s="29">
        <v>1</v>
      </c>
      <c r="E212" s="35" t="s">
        <v>500</v>
      </c>
      <c r="F212" s="206"/>
      <c r="G212" s="247">
        <v>36218</v>
      </c>
      <c r="H212" s="247">
        <v>36218</v>
      </c>
      <c r="I212" s="165"/>
    </row>
    <row r="213" s="0" customFormat="1" ht="42">
      <c r="A213" s="106" t="s">
        <v>202</v>
      </c>
      <c r="B213" s="89" t="s">
        <v>375</v>
      </c>
      <c r="C213" s="20" t="s">
        <v>65</v>
      </c>
      <c r="D213" s="29">
        <v>1</v>
      </c>
      <c r="E213" s="35" t="s">
        <v>500</v>
      </c>
      <c r="F213" s="206"/>
      <c r="G213" s="247">
        <v>38307.505263157902</v>
      </c>
      <c r="H213" s="247">
        <v>38307.505263157895</v>
      </c>
      <c r="I213" s="165"/>
    </row>
    <row r="214" s="0" customFormat="1" ht="56">
      <c r="A214" s="106" t="s">
        <v>206</v>
      </c>
      <c r="B214" s="89" t="s">
        <v>376</v>
      </c>
      <c r="C214" s="20" t="s">
        <v>65</v>
      </c>
      <c r="D214" s="29">
        <v>1</v>
      </c>
      <c r="E214" s="35" t="s">
        <v>500</v>
      </c>
      <c r="F214" s="206"/>
      <c r="G214" s="247">
        <v>36218</v>
      </c>
      <c r="H214" s="247">
        <v>36218</v>
      </c>
      <c r="I214" s="165"/>
    </row>
    <row r="215" s="0" customFormat="1" ht="56">
      <c r="A215" s="106" t="s">
        <v>210</v>
      </c>
      <c r="B215" s="89" t="s">
        <v>377</v>
      </c>
      <c r="C215" s="20" t="s">
        <v>65</v>
      </c>
      <c r="D215" s="29">
        <v>1</v>
      </c>
      <c r="E215" s="35" t="s">
        <v>500</v>
      </c>
      <c r="F215" s="206"/>
      <c r="G215" s="247">
        <v>36218</v>
      </c>
      <c r="H215" s="247">
        <v>36218</v>
      </c>
      <c r="I215" s="165"/>
    </row>
    <row r="216" s="0" customFormat="1" ht="42">
      <c r="A216" s="106" t="s">
        <v>214</v>
      </c>
      <c r="B216" s="89" t="s">
        <v>379</v>
      </c>
      <c r="C216" s="20" t="s">
        <v>65</v>
      </c>
      <c r="D216" s="29">
        <v>1</v>
      </c>
      <c r="E216" s="35" t="s">
        <v>500</v>
      </c>
      <c r="F216" s="206"/>
      <c r="G216" s="247">
        <v>119400</v>
      </c>
      <c r="H216" s="247">
        <v>119400</v>
      </c>
      <c r="I216" s="165"/>
    </row>
    <row r="217" s="0" customFormat="1" ht="70">
      <c r="A217" s="15" t="s">
        <v>233</v>
      </c>
      <c r="B217" s="89" t="s">
        <v>234</v>
      </c>
      <c r="C217" s="20" t="s">
        <v>65</v>
      </c>
      <c r="D217" s="29">
        <v>4</v>
      </c>
      <c r="E217" s="35" t="s">
        <v>500</v>
      </c>
      <c r="F217" s="82"/>
      <c r="G217" s="81">
        <f>H217/4</f>
        <v>17591.600000000002</v>
      </c>
      <c r="H217" s="247">
        <v>70366.400000000009</v>
      </c>
      <c r="I217" s="252"/>
    </row>
    <row r="218" s="0" customFormat="1" ht="84">
      <c r="A218" s="15" t="s">
        <v>235</v>
      </c>
      <c r="B218" s="89" t="s">
        <v>236</v>
      </c>
      <c r="C218" s="20" t="s">
        <v>65</v>
      </c>
      <c r="D218" s="29">
        <v>1</v>
      </c>
      <c r="E218" s="18" t="s">
        <v>500</v>
      </c>
      <c r="F218" s="82"/>
      <c r="G218" s="253">
        <v>19740.799999999999</v>
      </c>
      <c r="H218" s="253">
        <v>19740.799999999999</v>
      </c>
      <c r="I218" s="254" t="s">
        <v>542</v>
      </c>
    </row>
    <row r="219" s="0" customFormat="1" ht="84">
      <c r="A219" s="15" t="s">
        <v>239</v>
      </c>
      <c r="B219" s="89" t="s">
        <v>240</v>
      </c>
      <c r="C219" s="20" t="s">
        <v>65</v>
      </c>
      <c r="D219" s="29">
        <v>2</v>
      </c>
      <c r="E219" s="35" t="s">
        <v>500</v>
      </c>
      <c r="F219" s="82"/>
      <c r="G219" s="81">
        <v>6925.1999999999998</v>
      </c>
      <c r="H219" s="247">
        <v>13850.4</v>
      </c>
      <c r="I219" s="255"/>
    </row>
    <row r="220" s="0" customFormat="1" ht="84">
      <c r="A220" s="15" t="s">
        <v>241</v>
      </c>
      <c r="B220" s="89" t="s">
        <v>242</v>
      </c>
      <c r="C220" s="20" t="s">
        <v>65</v>
      </c>
      <c r="D220" s="29">
        <v>4</v>
      </c>
      <c r="E220" s="35" t="s">
        <v>500</v>
      </c>
      <c r="F220" s="81"/>
      <c r="G220" s="81">
        <v>8656.5</v>
      </c>
      <c r="H220" s="247">
        <v>34626</v>
      </c>
      <c r="I220" s="255"/>
    </row>
    <row r="221" s="0" customFormat="1" ht="70">
      <c r="A221" s="15" t="s">
        <v>245</v>
      </c>
      <c r="B221" s="89" t="s">
        <v>246</v>
      </c>
      <c r="C221" s="20" t="s">
        <v>65</v>
      </c>
      <c r="D221" s="29">
        <v>4</v>
      </c>
      <c r="E221" s="18" t="s">
        <v>500</v>
      </c>
      <c r="F221" s="54"/>
      <c r="G221" s="41">
        <v>6368</v>
      </c>
      <c r="H221" s="253">
        <v>25472.000000000004</v>
      </c>
      <c r="I221" s="256" t="s">
        <v>543</v>
      </c>
    </row>
    <row r="222" s="0" customFormat="1" ht="28">
      <c r="A222" s="15" t="s">
        <v>277</v>
      </c>
      <c r="B222" s="89" t="s">
        <v>389</v>
      </c>
      <c r="C222" s="20" t="s">
        <v>252</v>
      </c>
      <c r="D222" s="29">
        <v>6</v>
      </c>
      <c r="E222" s="35" t="s">
        <v>500</v>
      </c>
      <c r="F222" s="92"/>
      <c r="G222" s="248">
        <v>27196.27</v>
      </c>
      <c r="H222" s="247">
        <v>163180</v>
      </c>
      <c r="I222" s="255"/>
    </row>
    <row r="223" s="0" customFormat="1" ht="42">
      <c r="A223" s="15" t="s">
        <v>279</v>
      </c>
      <c r="B223" s="89" t="s">
        <v>280</v>
      </c>
      <c r="C223" s="20" t="s">
        <v>252</v>
      </c>
      <c r="D223" s="29">
        <v>6</v>
      </c>
      <c r="E223" s="35" t="s">
        <v>500</v>
      </c>
      <c r="F223" s="92"/>
      <c r="G223" s="248">
        <v>57431.400000000001</v>
      </c>
      <c r="H223" s="247">
        <v>344588.40000000002</v>
      </c>
      <c r="I223" s="255"/>
    </row>
    <row r="224" s="0" customFormat="1" ht="14">
      <c r="A224" s="101" t="s">
        <v>351</v>
      </c>
      <c r="B224" s="101"/>
      <c r="C224" s="101"/>
      <c r="D224" s="101"/>
      <c r="E224" s="101"/>
      <c r="F224" s="101"/>
      <c r="G224" s="101"/>
      <c r="H224" s="102">
        <f>SUM(H217:H223)</f>
        <v>671824</v>
      </c>
      <c r="I224" s="165"/>
    </row>
    <row r="225" s="0" customFormat="1" ht="14">
      <c r="A225" s="101" t="s">
        <v>352</v>
      </c>
      <c r="B225" s="101"/>
      <c r="C225" s="101"/>
      <c r="D225" s="101"/>
      <c r="E225" s="101"/>
      <c r="F225" s="101"/>
      <c r="G225" s="101"/>
      <c r="H225" s="102">
        <f>H224*0.2</f>
        <v>134364.80000000002</v>
      </c>
      <c r="I225" s="165"/>
    </row>
    <row r="226" s="0" customFormat="1" ht="14">
      <c r="A226" s="101" t="s">
        <v>351</v>
      </c>
      <c r="B226" s="101"/>
      <c r="C226" s="101"/>
      <c r="D226" s="101"/>
      <c r="E226" s="101"/>
      <c r="F226" s="101"/>
      <c r="G226" s="101"/>
      <c r="H226" s="102">
        <f>SUM(H224:H225)</f>
        <v>806188.80000000005</v>
      </c>
      <c r="I226" s="165"/>
    </row>
    <row r="227" ht="14">
      <c r="A227" s="104"/>
      <c r="B227" s="107" t="s">
        <v>390</v>
      </c>
      <c r="C227" s="108"/>
      <c r="D227" s="108"/>
      <c r="E227" s="108"/>
      <c r="F227" s="108"/>
      <c r="G227" s="108"/>
      <c r="H227" s="109"/>
      <c r="I227" s="165"/>
    </row>
    <row r="228" ht="14">
      <c r="A228" s="104"/>
      <c r="B228" s="257" t="s">
        <v>391</v>
      </c>
      <c r="C228" s="22"/>
      <c r="D228" s="111"/>
      <c r="E228" s="111"/>
      <c r="F228" s="111"/>
      <c r="G228" s="111"/>
      <c r="H228" s="258"/>
      <c r="I228" s="165"/>
    </row>
    <row r="229" ht="70">
      <c r="A229" s="38" t="s">
        <v>131</v>
      </c>
      <c r="B229" s="19" t="s">
        <v>544</v>
      </c>
      <c r="C229" s="28" t="s">
        <v>19</v>
      </c>
      <c r="D229" s="28">
        <v>5</v>
      </c>
      <c r="E229" s="182"/>
      <c r="F229" s="182"/>
      <c r="G229" s="96">
        <v>17935.601999999999</v>
      </c>
      <c r="H229" s="183">
        <v>89678.00554016621</v>
      </c>
      <c r="I229" s="247"/>
    </row>
    <row r="230" ht="42">
      <c r="A230" s="38" t="s">
        <v>20</v>
      </c>
      <c r="B230" s="19" t="s">
        <v>545</v>
      </c>
      <c r="C230" s="28" t="s">
        <v>58</v>
      </c>
      <c r="D230" s="28">
        <v>1</v>
      </c>
      <c r="E230" s="182"/>
      <c r="F230" s="182"/>
      <c r="G230" s="183">
        <v>47971.634349030479</v>
      </c>
      <c r="H230" s="183">
        <v>47971.634349030479</v>
      </c>
      <c r="I230" s="247"/>
    </row>
    <row r="231" ht="28">
      <c r="A231" s="38" t="s">
        <v>395</v>
      </c>
      <c r="B231" s="89" t="s">
        <v>546</v>
      </c>
      <c r="C231" s="28" t="s">
        <v>65</v>
      </c>
      <c r="D231" s="75">
        <v>1</v>
      </c>
      <c r="E231" s="88"/>
      <c r="F231" s="221"/>
      <c r="G231" s="245">
        <v>13296.398891966761</v>
      </c>
      <c r="H231" s="183">
        <v>13296.398891966761</v>
      </c>
      <c r="I231" s="247"/>
    </row>
    <row r="232" ht="42">
      <c r="A232" s="38" t="s">
        <v>92</v>
      </c>
      <c r="B232" s="89" t="s">
        <v>547</v>
      </c>
      <c r="C232" s="28" t="s">
        <v>19</v>
      </c>
      <c r="D232" s="75">
        <v>1</v>
      </c>
      <c r="E232" s="88"/>
      <c r="F232" s="221"/>
      <c r="G232" s="183">
        <v>16620.498614958451</v>
      </c>
      <c r="H232" s="183">
        <v>16620.498614958451</v>
      </c>
      <c r="I232" s="247"/>
    </row>
    <row r="233" ht="42">
      <c r="A233" s="38" t="s">
        <v>400</v>
      </c>
      <c r="B233" s="89" t="s">
        <v>548</v>
      </c>
      <c r="C233" s="28" t="s">
        <v>65</v>
      </c>
      <c r="D233" s="75">
        <v>1</v>
      </c>
      <c r="E233" s="204"/>
      <c r="F233" s="221"/>
      <c r="G233" s="245">
        <v>6648.1994459833804</v>
      </c>
      <c r="H233" s="183">
        <v>6648.1994459833804</v>
      </c>
      <c r="I233" s="247"/>
    </row>
    <row r="234" ht="104.15000000000001" customHeight="1">
      <c r="A234" s="38" t="s">
        <v>117</v>
      </c>
      <c r="B234" s="19" t="s">
        <v>549</v>
      </c>
      <c r="C234" s="20" t="s">
        <v>82</v>
      </c>
      <c r="D234" s="15" t="s">
        <v>20</v>
      </c>
      <c r="E234" s="80"/>
      <c r="F234" s="112"/>
      <c r="G234" s="113">
        <v>610526.31000000006</v>
      </c>
      <c r="H234" s="183">
        <v>1221052.6315789474</v>
      </c>
      <c r="I234" s="247"/>
    </row>
    <row r="235" ht="60.649999999999999" customHeight="1">
      <c r="A235" s="38" t="s">
        <v>126</v>
      </c>
      <c r="B235" s="53" t="s">
        <v>404</v>
      </c>
      <c r="C235" s="29" t="s">
        <v>65</v>
      </c>
      <c r="D235" s="126">
        <v>12</v>
      </c>
      <c r="E235" s="80"/>
      <c r="F235" s="112"/>
      <c r="G235" s="113">
        <v>11494.74</v>
      </c>
      <c r="H235" s="183">
        <v>137936.84</v>
      </c>
      <c r="I235" s="253"/>
    </row>
    <row r="236" ht="42">
      <c r="A236" s="38" t="s">
        <v>102</v>
      </c>
      <c r="B236" s="259" t="s">
        <v>550</v>
      </c>
      <c r="C236" s="29" t="s">
        <v>65</v>
      </c>
      <c r="D236" s="29">
        <v>1</v>
      </c>
      <c r="E236" s="53"/>
      <c r="F236" s="54"/>
      <c r="G236" s="140">
        <v>208000</v>
      </c>
      <c r="H236" s="140">
        <v>208000</v>
      </c>
      <c r="I236" s="260"/>
    </row>
    <row r="237" ht="42">
      <c r="A237" s="38" t="s">
        <v>405</v>
      </c>
      <c r="B237" s="259" t="s">
        <v>551</v>
      </c>
      <c r="C237" s="29" t="s">
        <v>65</v>
      </c>
      <c r="D237" s="29">
        <v>2</v>
      </c>
      <c r="E237" s="53"/>
      <c r="F237" s="54"/>
      <c r="G237" s="41">
        <v>1905.3</v>
      </c>
      <c r="H237" s="140">
        <v>3810.5999999999999</v>
      </c>
      <c r="I237" s="260"/>
    </row>
    <row r="238" ht="150" customHeight="1">
      <c r="A238" s="38" t="s">
        <v>407</v>
      </c>
      <c r="B238" s="16" t="s">
        <v>416</v>
      </c>
      <c r="C238" s="15" t="s">
        <v>65</v>
      </c>
      <c r="D238" s="61" t="s">
        <v>131</v>
      </c>
      <c r="E238" s="80"/>
      <c r="F238" s="112"/>
      <c r="G238" s="183">
        <v>424210.5263157895</v>
      </c>
      <c r="H238" s="183">
        <v>424210.5263157895</v>
      </c>
      <c r="I238" s="253"/>
    </row>
    <row r="239" ht="56">
      <c r="A239" s="38" t="s">
        <v>410</v>
      </c>
      <c r="B239" s="19" t="s">
        <v>552</v>
      </c>
      <c r="C239" s="15" t="s">
        <v>82</v>
      </c>
      <c r="D239" s="15" t="s">
        <v>131</v>
      </c>
      <c r="E239" s="261"/>
      <c r="F239" s="261"/>
      <c r="G239" s="183">
        <v>27521.049999999999</v>
      </c>
      <c r="H239" s="183">
        <v>27521.049999999999</v>
      </c>
      <c r="I239" s="253"/>
    </row>
    <row r="240" ht="44.25" customHeight="1">
      <c r="A240" s="38" t="s">
        <v>413</v>
      </c>
      <c r="B240" s="16" t="s">
        <v>420</v>
      </c>
      <c r="C240" s="20" t="s">
        <v>58</v>
      </c>
      <c r="D240" s="20">
        <v>1</v>
      </c>
      <c r="E240" s="60"/>
      <c r="F240" s="30"/>
      <c r="G240" s="183">
        <v>189473.68421052632</v>
      </c>
      <c r="H240" s="183">
        <v>189473.68421052632</v>
      </c>
      <c r="I240" s="253"/>
    </row>
    <row r="241" ht="63.649999999999999" customHeight="1">
      <c r="A241" s="38" t="s">
        <v>415</v>
      </c>
      <c r="B241" s="16" t="s">
        <v>553</v>
      </c>
      <c r="C241" s="15" t="s">
        <v>65</v>
      </c>
      <c r="D241" s="61" t="s">
        <v>131</v>
      </c>
      <c r="E241" s="60"/>
      <c r="F241" s="30"/>
      <c r="G241" s="183">
        <v>42105.26315789474</v>
      </c>
      <c r="H241" s="183">
        <v>42105.26315789474</v>
      </c>
      <c r="I241" s="253"/>
    </row>
    <row r="242" ht="48.649999999999999" customHeight="1">
      <c r="A242" s="38" t="s">
        <v>417</v>
      </c>
      <c r="B242" s="63" t="s">
        <v>554</v>
      </c>
      <c r="C242" s="15" t="s">
        <v>65</v>
      </c>
      <c r="D242" s="15" t="s">
        <v>131</v>
      </c>
      <c r="E242" s="60"/>
      <c r="F242" s="30"/>
      <c r="G242" s="183">
        <v>3232.8499999999999</v>
      </c>
      <c r="H242" s="183">
        <v>3232.8499999999999</v>
      </c>
      <c r="I242" s="253"/>
    </row>
    <row r="243" ht="33" customHeight="1">
      <c r="A243" s="38" t="s">
        <v>419</v>
      </c>
      <c r="B243" s="16" t="s">
        <v>555</v>
      </c>
      <c r="C243" s="15" t="s">
        <v>65</v>
      </c>
      <c r="D243" s="61" t="s">
        <v>431</v>
      </c>
      <c r="E243" s="60"/>
      <c r="F243" s="30"/>
      <c r="G243" s="41">
        <v>13473.68</v>
      </c>
      <c r="H243" s="183">
        <v>53894.736842105267</v>
      </c>
      <c r="I243" s="253"/>
    </row>
    <row r="244" ht="104.5" customHeight="1">
      <c r="A244" s="38" t="s">
        <v>421</v>
      </c>
      <c r="B244" s="16" t="s">
        <v>433</v>
      </c>
      <c r="C244" s="15" t="s">
        <v>65</v>
      </c>
      <c r="D244" s="61" t="s">
        <v>434</v>
      </c>
      <c r="E244" s="60"/>
      <c r="F244" s="30"/>
      <c r="G244" s="41">
        <v>42105.260000000002</v>
      </c>
      <c r="H244" s="183">
        <v>84210.526315789481</v>
      </c>
      <c r="I244" s="253"/>
    </row>
    <row r="245" ht="31.5" customHeight="1">
      <c r="A245" s="38" t="s">
        <v>423</v>
      </c>
      <c r="B245" s="121" t="s">
        <v>436</v>
      </c>
      <c r="C245" s="15" t="s">
        <v>82</v>
      </c>
      <c r="D245" s="61" t="s">
        <v>131</v>
      </c>
      <c r="E245" s="60"/>
      <c r="F245" s="30"/>
      <c r="G245" s="183">
        <v>63157.894736842107</v>
      </c>
      <c r="H245" s="262">
        <v>63157.894736842107</v>
      </c>
      <c r="I245" s="253"/>
    </row>
    <row r="246" ht="42">
      <c r="A246" s="38" t="s">
        <v>425</v>
      </c>
      <c r="B246" s="135" t="s">
        <v>438</v>
      </c>
      <c r="C246" s="20" t="s">
        <v>65</v>
      </c>
      <c r="D246" s="15" t="s">
        <v>20</v>
      </c>
      <c r="E246" s="80"/>
      <c r="F246" s="82"/>
      <c r="G246" s="81">
        <v>278112.45000000001</v>
      </c>
      <c r="H246" s="183">
        <v>556224.90000000002</v>
      </c>
      <c r="I246" s="253"/>
    </row>
    <row r="247" ht="42">
      <c r="A247" s="38" t="s">
        <v>427</v>
      </c>
      <c r="B247" s="45" t="s">
        <v>442</v>
      </c>
      <c r="C247" s="20" t="s">
        <v>65</v>
      </c>
      <c r="D247" s="29">
        <v>2</v>
      </c>
      <c r="E247" s="112"/>
      <c r="F247" s="112"/>
      <c r="G247" s="113">
        <v>43879.5</v>
      </c>
      <c r="H247" s="183">
        <v>87759</v>
      </c>
      <c r="I247" s="253"/>
    </row>
    <row r="248" ht="45" customHeight="1">
      <c r="A248" s="38" t="s">
        <v>429</v>
      </c>
      <c r="B248" s="45" t="s">
        <v>444</v>
      </c>
      <c r="C248" s="20" t="s">
        <v>65</v>
      </c>
      <c r="D248" s="29">
        <v>2</v>
      </c>
      <c r="E248" s="112"/>
      <c r="F248" s="112"/>
      <c r="G248" s="113">
        <f>H248/2</f>
        <v>31578.947368421053</v>
      </c>
      <c r="H248" s="183">
        <v>63157.894736842107</v>
      </c>
      <c r="I248" s="253"/>
    </row>
    <row r="249" ht="61.5" customHeight="1">
      <c r="A249" s="38" t="s">
        <v>432</v>
      </c>
      <c r="B249" s="89" t="s">
        <v>446</v>
      </c>
      <c r="C249" s="20" t="s">
        <v>65</v>
      </c>
      <c r="D249" s="29">
        <v>1</v>
      </c>
      <c r="E249" s="112"/>
      <c r="F249" s="112"/>
      <c r="G249" s="183">
        <v>38028.894736842107</v>
      </c>
      <c r="H249" s="183">
        <v>38028.894736842107</v>
      </c>
      <c r="I249" s="253"/>
    </row>
    <row r="250" ht="59.25" customHeight="1">
      <c r="A250" s="38" t="s">
        <v>435</v>
      </c>
      <c r="B250" s="89" t="s">
        <v>448</v>
      </c>
      <c r="C250" s="20" t="s">
        <v>65</v>
      </c>
      <c r="D250" s="29">
        <v>1</v>
      </c>
      <c r="E250" s="112"/>
      <c r="F250" s="112"/>
      <c r="G250" s="183">
        <v>38028.894736842107</v>
      </c>
      <c r="H250" s="183">
        <v>38028.894736842107</v>
      </c>
      <c r="I250" s="253"/>
    </row>
    <row r="251" ht="43.5" customHeight="1">
      <c r="A251" s="38" t="s">
        <v>437</v>
      </c>
      <c r="B251" s="53" t="s">
        <v>450</v>
      </c>
      <c r="C251" s="20" t="s">
        <v>65</v>
      </c>
      <c r="D251" s="29">
        <v>1</v>
      </c>
      <c r="E251" s="112"/>
      <c r="F251" s="112"/>
      <c r="G251" s="183">
        <v>40222.873684210528</v>
      </c>
      <c r="H251" s="183">
        <v>40222.873684210528</v>
      </c>
      <c r="I251" s="253"/>
    </row>
    <row r="252" ht="42">
      <c r="A252" s="38" t="s">
        <v>439</v>
      </c>
      <c r="B252" s="89" t="s">
        <v>452</v>
      </c>
      <c r="C252" s="20" t="s">
        <v>65</v>
      </c>
      <c r="D252" s="29">
        <v>1</v>
      </c>
      <c r="E252" s="80"/>
      <c r="F252" s="82"/>
      <c r="G252" s="183">
        <v>38028.894736842107</v>
      </c>
      <c r="H252" s="183">
        <v>38028.894736842107</v>
      </c>
      <c r="I252" s="253"/>
    </row>
    <row r="253" ht="42">
      <c r="A253" s="38" t="s">
        <v>441</v>
      </c>
      <c r="B253" s="89" t="s">
        <v>454</v>
      </c>
      <c r="C253" s="20" t="s">
        <v>65</v>
      </c>
      <c r="D253" s="29">
        <v>1</v>
      </c>
      <c r="E253" s="112"/>
      <c r="F253" s="112"/>
      <c r="G253" s="183">
        <v>38028.894736842107</v>
      </c>
      <c r="H253" s="183">
        <v>38028.894736842107</v>
      </c>
      <c r="I253" s="253"/>
    </row>
    <row r="254" ht="56">
      <c r="A254" s="38" t="s">
        <v>443</v>
      </c>
      <c r="B254" s="89" t="s">
        <v>556</v>
      </c>
      <c r="C254" s="137" t="s">
        <v>65</v>
      </c>
      <c r="D254" s="138">
        <v>1</v>
      </c>
      <c r="E254" s="80"/>
      <c r="F254" s="112"/>
      <c r="G254" s="183">
        <v>18421.052631579001</v>
      </c>
      <c r="H254" s="183">
        <v>18421.052631579001</v>
      </c>
      <c r="I254" s="253"/>
    </row>
    <row r="255" ht="42">
      <c r="A255" s="38" t="s">
        <v>445</v>
      </c>
      <c r="B255" s="89" t="s">
        <v>458</v>
      </c>
      <c r="C255" s="20" t="s">
        <v>65</v>
      </c>
      <c r="D255" s="29">
        <v>1</v>
      </c>
      <c r="E255" s="80"/>
      <c r="F255" s="82"/>
      <c r="G255" s="183">
        <v>140526.32000000001</v>
      </c>
      <c r="H255" s="183">
        <v>140526.32000000001</v>
      </c>
      <c r="I255" s="253"/>
    </row>
    <row r="256" ht="60.75" customHeight="1">
      <c r="A256" s="38" t="s">
        <v>447</v>
      </c>
      <c r="B256" s="89" t="s">
        <v>557</v>
      </c>
      <c r="C256" s="137" t="s">
        <v>65</v>
      </c>
      <c r="D256" s="138">
        <v>4</v>
      </c>
      <c r="E256" s="112"/>
      <c r="F256" s="112"/>
      <c r="G256" s="41">
        <f>H256/4</f>
        <v>17825.685000000001</v>
      </c>
      <c r="H256" s="183">
        <v>71302.740000000005</v>
      </c>
      <c r="I256" s="253"/>
    </row>
    <row r="257" ht="72.650000000000006" customHeight="1">
      <c r="A257" s="38" t="s">
        <v>449</v>
      </c>
      <c r="B257" s="53" t="s">
        <v>558</v>
      </c>
      <c r="C257" s="20" t="s">
        <v>65</v>
      </c>
      <c r="D257" s="127">
        <v>1</v>
      </c>
      <c r="E257" s="112"/>
      <c r="F257" s="112"/>
      <c r="G257" s="183">
        <v>37136.839999999997</v>
      </c>
      <c r="H257" s="183">
        <v>37136.839999999997</v>
      </c>
      <c r="I257" s="253"/>
    </row>
    <row r="258" ht="73.5" customHeight="1">
      <c r="A258" s="38" t="s">
        <v>451</v>
      </c>
      <c r="B258" s="53" t="s">
        <v>559</v>
      </c>
      <c r="C258" s="20" t="s">
        <v>65</v>
      </c>
      <c r="D258" s="127">
        <v>1</v>
      </c>
      <c r="E258" s="112"/>
      <c r="F258" s="112"/>
      <c r="G258" s="183">
        <v>11883.780000000001</v>
      </c>
      <c r="H258" s="183">
        <v>11883.780000000001</v>
      </c>
      <c r="I258" s="253"/>
    </row>
    <row r="259" ht="70">
      <c r="A259" s="38" t="s">
        <v>453</v>
      </c>
      <c r="B259" s="89" t="s">
        <v>560</v>
      </c>
      <c r="C259" s="137" t="s">
        <v>65</v>
      </c>
      <c r="D259" s="80">
        <v>3</v>
      </c>
      <c r="E259" s="112"/>
      <c r="F259" s="112"/>
      <c r="G259" s="41">
        <f>H259/3</f>
        <v>11883.786666666667</v>
      </c>
      <c r="H259" s="183">
        <v>35651.360000000001</v>
      </c>
      <c r="I259" s="253"/>
    </row>
    <row r="260" ht="56">
      <c r="A260" s="38" t="s">
        <v>455</v>
      </c>
      <c r="B260" s="89" t="s">
        <v>468</v>
      </c>
      <c r="C260" s="137" t="s">
        <v>350</v>
      </c>
      <c r="D260" s="138">
        <v>2</v>
      </c>
      <c r="E260" s="91"/>
      <c r="F260" s="92"/>
      <c r="G260" s="93">
        <f>H260/2</f>
        <v>57113</v>
      </c>
      <c r="H260" s="183">
        <v>114226</v>
      </c>
      <c r="I260" s="253"/>
    </row>
    <row r="261" ht="56">
      <c r="A261" s="38" t="s">
        <v>457</v>
      </c>
      <c r="B261" s="89" t="s">
        <v>561</v>
      </c>
      <c r="C261" s="137" t="s">
        <v>19</v>
      </c>
      <c r="D261" s="138">
        <v>1</v>
      </c>
      <c r="E261" s="91"/>
      <c r="F261" s="92"/>
      <c r="G261" s="183">
        <v>39789.470000000001</v>
      </c>
      <c r="H261" s="183">
        <v>39789.470000000001</v>
      </c>
      <c r="I261" s="253"/>
    </row>
    <row r="262" ht="56">
      <c r="A262" s="38" t="s">
        <v>459</v>
      </c>
      <c r="B262" s="263" t="s">
        <v>562</v>
      </c>
      <c r="C262" s="20" t="s">
        <v>19</v>
      </c>
      <c r="D262" s="29">
        <v>4</v>
      </c>
      <c r="E262" s="91"/>
      <c r="F262" s="92"/>
      <c r="G262" s="93">
        <f>H262/4</f>
        <v>436289.47249999997</v>
      </c>
      <c r="H262" s="183">
        <v>1745157.8899999999</v>
      </c>
      <c r="I262" s="253"/>
    </row>
    <row r="263" ht="28">
      <c r="A263" s="38" t="s">
        <v>461</v>
      </c>
      <c r="B263" s="205" t="s">
        <v>563</v>
      </c>
      <c r="C263" s="20" t="s">
        <v>65</v>
      </c>
      <c r="D263" s="29">
        <v>1</v>
      </c>
      <c r="E263" s="29"/>
      <c r="F263" s="54"/>
      <c r="G263" s="183">
        <v>39930.339999999997</v>
      </c>
      <c r="H263" s="183">
        <v>39930.339999999997</v>
      </c>
      <c r="I263" s="264"/>
    </row>
    <row r="264" ht="28">
      <c r="A264" s="38" t="s">
        <v>463</v>
      </c>
      <c r="B264" s="205" t="s">
        <v>564</v>
      </c>
      <c r="C264" s="20" t="s">
        <v>65</v>
      </c>
      <c r="D264" s="29">
        <v>1</v>
      </c>
      <c r="E264" s="29"/>
      <c r="F264" s="54"/>
      <c r="G264" s="183">
        <v>39930.339999999997</v>
      </c>
      <c r="H264" s="183">
        <v>39930.339999999997</v>
      </c>
      <c r="I264" s="264"/>
    </row>
    <row r="265" ht="28">
      <c r="A265" s="38" t="s">
        <v>465</v>
      </c>
      <c r="B265" s="53" t="s">
        <v>565</v>
      </c>
      <c r="C265" s="20" t="s">
        <v>65</v>
      </c>
      <c r="D265" s="29">
        <v>1</v>
      </c>
      <c r="E265" s="29"/>
      <c r="F265" s="54"/>
      <c r="G265" s="183">
        <v>42030.339999999997</v>
      </c>
      <c r="H265" s="183">
        <v>42030.339999999997</v>
      </c>
      <c r="I265" s="264"/>
    </row>
    <row r="266" ht="14">
      <c r="A266" s="141" t="s">
        <v>351</v>
      </c>
      <c r="B266" s="141"/>
      <c r="C266" s="141"/>
      <c r="D266" s="141"/>
      <c r="E266" s="141"/>
      <c r="F266" s="141"/>
      <c r="G266" s="141"/>
      <c r="H266" s="142">
        <f>SUM(H229:H265)</f>
        <v>5868288.0600000005</v>
      </c>
    </row>
    <row r="267" ht="13" customHeight="1">
      <c r="A267" s="141" t="s">
        <v>352</v>
      </c>
      <c r="B267" s="141"/>
      <c r="C267" s="141"/>
      <c r="D267" s="141"/>
      <c r="E267" s="141"/>
      <c r="F267" s="141"/>
      <c r="G267" s="141"/>
      <c r="H267" s="142">
        <f>H266*0.2</f>
        <v>1173657.6120000002</v>
      </c>
    </row>
    <row r="268" ht="14.15" customHeight="1">
      <c r="A268" s="141" t="s">
        <v>351</v>
      </c>
      <c r="B268" s="141"/>
      <c r="C268" s="141"/>
      <c r="D268" s="141"/>
      <c r="E268" s="141"/>
      <c r="F268" s="141"/>
      <c r="G268" s="141"/>
      <c r="H268" s="142">
        <f>SUM(H266:H267)</f>
        <v>7041945.6720000003</v>
      </c>
    </row>
    <row r="269" ht="14.15" customHeight="1">
      <c r="A269" s="143"/>
      <c r="B269" s="143"/>
      <c r="C269" s="143"/>
      <c r="D269" s="143"/>
      <c r="E269" s="143"/>
      <c r="F269" s="143"/>
      <c r="G269" s="143"/>
      <c r="H269" s="143"/>
    </row>
    <row r="270" ht="14.15" customHeight="1">
      <c r="A270" s="144" t="s">
        <v>473</v>
      </c>
      <c r="B270" s="144"/>
      <c r="C270" s="144"/>
      <c r="D270" s="144"/>
      <c r="E270" s="144"/>
      <c r="F270" s="144"/>
      <c r="G270" s="144"/>
      <c r="H270" s="144"/>
    </row>
    <row r="271" ht="14.15" customHeight="1">
      <c r="A271" s="145" t="s">
        <v>474</v>
      </c>
      <c r="B271" s="145"/>
      <c r="C271" s="145"/>
      <c r="D271" s="145"/>
      <c r="E271" s="145"/>
      <c r="F271" s="145"/>
      <c r="G271" s="145"/>
      <c r="H271" s="102">
        <f>H186</f>
        <v>21319686.695999999</v>
      </c>
    </row>
    <row r="272" ht="14.15" customHeight="1">
      <c r="A272" s="145" t="s">
        <v>475</v>
      </c>
      <c r="B272" s="145"/>
      <c r="C272" s="145"/>
      <c r="D272" s="145"/>
      <c r="E272" s="145"/>
      <c r="F272" s="145"/>
      <c r="G272" s="145"/>
      <c r="H272" s="102">
        <f>H203</f>
        <v>1472966.304</v>
      </c>
    </row>
    <row r="273" ht="14.15" customHeight="1">
      <c r="A273" s="145" t="s">
        <v>476</v>
      </c>
      <c r="B273" s="145"/>
      <c r="C273" s="145"/>
      <c r="D273" s="145"/>
      <c r="E273" s="145"/>
      <c r="F273" s="145"/>
      <c r="G273" s="145"/>
      <c r="H273" s="102">
        <f>H226</f>
        <v>806188.80000000005</v>
      </c>
    </row>
    <row r="274" ht="14.15" customHeight="1">
      <c r="A274" s="145" t="s">
        <v>477</v>
      </c>
      <c r="B274" s="145"/>
      <c r="C274" s="145"/>
      <c r="D274" s="145"/>
      <c r="E274" s="145"/>
      <c r="F274" s="145"/>
      <c r="G274" s="145"/>
      <c r="H274" s="146">
        <f>H268</f>
        <v>7041945.6720000003</v>
      </c>
    </row>
    <row r="275" ht="14.15" customHeight="1">
      <c r="A275" s="145" t="s">
        <v>478</v>
      </c>
      <c r="B275" s="145"/>
      <c r="C275" s="145"/>
      <c r="D275" s="145"/>
      <c r="E275" s="145"/>
      <c r="F275" s="145"/>
      <c r="G275" s="145"/>
      <c r="H275" s="146">
        <f>H271-H272-H273+H274</f>
        <v>26082477.263999999</v>
      </c>
    </row>
    <row r="276" ht="14">
      <c r="A276" s="151"/>
      <c r="B276" s="152"/>
      <c r="C276" s="151"/>
      <c r="D276" s="153"/>
      <c r="G276" s="153"/>
      <c r="H276" s="265"/>
    </row>
    <row r="277" ht="14">
      <c r="A277" s="157"/>
      <c r="B277" s="158"/>
      <c r="C277" s="157"/>
      <c r="D277" s="159"/>
      <c r="E277" s="159"/>
      <c r="F277" s="159"/>
      <c r="G277" s="159"/>
      <c r="H277" s="266"/>
    </row>
    <row r="278" ht="14">
      <c r="A278" s="157"/>
      <c r="B278" s="158"/>
      <c r="C278" s="157"/>
      <c r="D278" s="159"/>
      <c r="E278" s="159"/>
      <c r="F278" s="159"/>
      <c r="G278" s="159"/>
      <c r="H278" s="266"/>
    </row>
  </sheetData>
  <mergeCells count="40">
    <mergeCell ref="F1:H1"/>
    <mergeCell ref="F2:H2"/>
    <mergeCell ref="A4:H4"/>
    <mergeCell ref="A8:I8"/>
    <mergeCell ref="G22:G32"/>
    <mergeCell ref="H22:H32"/>
    <mergeCell ref="G34:G37"/>
    <mergeCell ref="H34:H37"/>
    <mergeCell ref="G46:G57"/>
    <mergeCell ref="H46:H57"/>
    <mergeCell ref="G59:G64"/>
    <mergeCell ref="H59:H64"/>
    <mergeCell ref="G73:G75"/>
    <mergeCell ref="H73:H75"/>
    <mergeCell ref="A184:G184"/>
    <mergeCell ref="A185:G185"/>
    <mergeCell ref="A186:G186"/>
    <mergeCell ref="A187:H187"/>
    <mergeCell ref="A188:H188"/>
    <mergeCell ref="A201:G201"/>
    <mergeCell ref="A202:G202"/>
    <mergeCell ref="A203:G203"/>
    <mergeCell ref="A204:H204"/>
    <mergeCell ref="A205:H205"/>
    <mergeCell ref="G207:G209"/>
    <mergeCell ref="H207:H209"/>
    <mergeCell ref="A224:G224"/>
    <mergeCell ref="A225:G225"/>
    <mergeCell ref="A226:G226"/>
    <mergeCell ref="B227:H227"/>
    <mergeCell ref="A266:G266"/>
    <mergeCell ref="A267:G267"/>
    <mergeCell ref="A268:G268"/>
    <mergeCell ref="A269:H269"/>
    <mergeCell ref="A270:H270"/>
    <mergeCell ref="A271:G271"/>
    <mergeCell ref="A272:G272"/>
    <mergeCell ref="A273:G273"/>
    <mergeCell ref="A274:G274"/>
    <mergeCell ref="A275:G275"/>
  </mergeCells>
  <printOptions headings="0" gridLines="0"/>
  <pageMargins left="0.39370078740157477" right="0.19685039370078738" top="0.39370078740157477" bottom="0.19685039370078738" header="0" footer="0"/>
  <pageSetup paperSize="9" scale="85" fitToWidth="1" fitToHeight="0" pageOrder="downThenOver" orientation="landscape" usePrinterDefaults="1" blackAndWhite="0" draft="0" cellComments="none" useFirstPageNumber="0" errors="displayed" horizontalDpi="600" verticalDpi="600" copies="1"/>
  <headerFooter/>
  <rowBreaks count="20" manualBreakCount="20">
    <brk id="19" man="1" max="8"/>
    <brk id="30" man="1" max="8"/>
    <brk id="41" man="1" max="8"/>
    <brk id="51" man="1" max="8"/>
    <brk id="60" man="1" max="8"/>
    <brk id="73" man="1" max="8"/>
    <brk id="83" man="1" max="8"/>
    <brk id="93" man="1" max="8"/>
    <brk id="103" man="1" max="8"/>
    <brk id="113" man="1" max="8"/>
    <brk id="132" man="1" max="8"/>
    <brk id="147" man="1" max="8"/>
    <brk id="164" man="1" max="8"/>
    <brk id="182" man="1" max="8"/>
    <brk id="197" man="1" max="8"/>
    <brk id="211" man="1" max="8"/>
    <brk id="220" man="1" max="8"/>
    <brk id="235" man="1" max="8"/>
    <brk id="246" man="1" max="8"/>
    <brk id="258" man="1" max="8"/>
  </rowBreaks>
  <extLst>
    <ext xmlns:x14="http://schemas.microsoft.com/office/spreadsheetml/2009/9/main" uri="{78C0D931-6437-407d-A8EE-F0AAD7539E65}">
      <x14:conditionalFormattings>
        <x14:conditionalFormatting xmlns:xm="http://schemas.microsoft.com/office/excel/2006/main">
          <x14:cfRule type="duplicateValues" priority="1" id="{00950091-007C-4677-A155-002E00A200F0}">
            <x14:dxf>
              <font>
                <color rgb="FF9C0006"/>
              </font>
              <fill>
                <patternFill patternType="solid">
                  <fgColor rgb="FFFFC7CE"/>
                  <bgColor rgb="FFFFC7CE"/>
                </patternFill>
              </fill>
            </x14:dxf>
          </x14:cfRule>
          <xm:sqref>B254:B255</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F22" activeCellId="0" sqref="F22"/>
    </sheetView>
  </sheetViews>
  <sheetFormatPr defaultRowHeight="12.5"/>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2.5"/>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2.5"/>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2.5"/>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Company>Excel Development</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Elena Camarillo</dc:creator>
  <cp:revision>1</cp:revision>
  <dcterms:created xsi:type="dcterms:W3CDTF">1996-10-08T23:32:33Z</dcterms:created>
  <dcterms:modified xsi:type="dcterms:W3CDTF">2026-07-08T02:27:11Z</dcterms:modified>
</cp:coreProperties>
</file>